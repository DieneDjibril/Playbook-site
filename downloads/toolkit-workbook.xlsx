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kuzivakwashemutsvangwa/Desktop/RF_PrivateSector_Deliverables V1/"/>
    </mc:Choice>
  </mc:AlternateContent>
  <xr:revisionPtr revIDLastSave="0" documentId="8_{B9597D9D-86EB-BF4B-AE2F-66144F267E05}" xr6:coauthVersionLast="47" xr6:coauthVersionMax="47" xr10:uidLastSave="{00000000-0000-0000-0000-000000000000}"/>
  <bookViews>
    <workbookView xWindow="0" yWindow="760" windowWidth="38400" windowHeight="24100" xr2:uid="{44660739-027A-3E48-A779-1B17B647C180}"/>
  </bookViews>
  <sheets>
    <sheet name="ReadMe" sheetId="1" r:id="rId1"/>
    <sheet name="Scoring Guide" sheetId="2" r:id="rId2"/>
    <sheet name="Opportunity Profile" sheetId="3" r:id="rId3"/>
    <sheet name="Deployability Scorecard" sheetId="4" r:id="rId4"/>
    <sheet name="Binding Constraints" sheetId="5" r:id="rId5"/>
    <sheet name="Actor Map" sheetId="6" r:id="rId6"/>
    <sheet name="System Readiness" sheetId="7" r:id="rId7"/>
    <sheet name="Partnership Model Selection" sheetId="8" r:id="rId8"/>
    <sheet name="Role Selection" sheetId="9" r:id="rId9"/>
    <sheet name="Capital Sequencing" sheetId="10" r:id="rId10"/>
    <sheet name="Risk Allocation" sheetId="11" r:id="rId11"/>
    <sheet name="Deployability Dashboard" sheetId="12" r:id="rId12"/>
  </sheets>
  <externalReferences>
    <externalReference r:id="rId13"/>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0" i="12" l="1"/>
  <c r="C30" i="12"/>
  <c r="C10" i="12"/>
  <c r="C9" i="12"/>
  <c r="C8" i="12"/>
  <c r="C7" i="12"/>
  <c r="B30" i="11"/>
  <c r="L26" i="11"/>
  <c r="L25" i="11"/>
  <c r="L24" i="11"/>
  <c r="L23" i="11"/>
  <c r="L22" i="11"/>
  <c r="L21" i="11"/>
  <c r="L20" i="11"/>
  <c r="L19" i="11"/>
  <c r="L18" i="11"/>
  <c r="L17" i="11"/>
  <c r="L16" i="11"/>
  <c r="L15" i="11"/>
  <c r="L14" i="11"/>
  <c r="L13" i="11"/>
  <c r="L12" i="11"/>
  <c r="L11" i="11"/>
  <c r="L10" i="11"/>
  <c r="L9" i="11"/>
  <c r="L8" i="11"/>
  <c r="L7" i="11"/>
  <c r="B29" i="11" s="1"/>
  <c r="C20" i="12" s="1"/>
  <c r="B21" i="10"/>
  <c r="B20" i="10"/>
  <c r="C19" i="12" s="1"/>
  <c r="B26" i="9"/>
  <c r="I20" i="9"/>
  <c r="L20" i="9" s="1"/>
  <c r="I19" i="9"/>
  <c r="L19" i="9" s="1"/>
  <c r="I18" i="9"/>
  <c r="L18" i="9" s="1"/>
  <c r="I17" i="9"/>
  <c r="L17" i="9" s="1"/>
  <c r="I16" i="9"/>
  <c r="L16" i="9" s="1"/>
  <c r="I15" i="9"/>
  <c r="L15" i="9" s="1"/>
  <c r="I14" i="9"/>
  <c r="L14" i="9" s="1"/>
  <c r="I13" i="9"/>
  <c r="L13" i="9" s="1"/>
  <c r="I12" i="9"/>
  <c r="L12" i="9" s="1"/>
  <c r="I11" i="9"/>
  <c r="L11" i="9" s="1"/>
  <c r="I10" i="9"/>
  <c r="L10" i="9" s="1"/>
  <c r="I9" i="9"/>
  <c r="L9" i="9" s="1"/>
  <c r="I8" i="9"/>
  <c r="L8" i="9" s="1"/>
  <c r="I7" i="9"/>
  <c r="B4" i="9"/>
  <c r="B23" i="8"/>
  <c r="C17" i="12" s="1"/>
  <c r="B21" i="8"/>
  <c r="B20" i="8"/>
  <c r="B19" i="8"/>
  <c r="B39" i="7"/>
  <c r="C37" i="7"/>
  <c r="B37" i="7"/>
  <c r="D37" i="7" s="1"/>
  <c r="C36" i="7"/>
  <c r="B36" i="7"/>
  <c r="D36" i="7" s="1"/>
  <c r="C35" i="7"/>
  <c r="B35" i="7"/>
  <c r="D35" i="7" s="1"/>
  <c r="C34" i="7"/>
  <c r="B34" i="7"/>
  <c r="D34" i="7" s="1"/>
  <c r="C33" i="7"/>
  <c r="B33" i="7"/>
  <c r="D33" i="7" s="1"/>
  <c r="C32" i="7"/>
  <c r="B32" i="7"/>
  <c r="D32" i="7" s="1"/>
  <c r="C31" i="7"/>
  <c r="B31" i="7"/>
  <c r="D31" i="7" s="1"/>
  <c r="J26" i="6"/>
  <c r="J25" i="6"/>
  <c r="J24" i="6"/>
  <c r="J23" i="6"/>
  <c r="J22" i="6"/>
  <c r="J21" i="6"/>
  <c r="J20" i="6"/>
  <c r="J19" i="6"/>
  <c r="J18" i="6"/>
  <c r="J17" i="6"/>
  <c r="J16" i="6"/>
  <c r="J15" i="6"/>
  <c r="J14" i="6"/>
  <c r="J13" i="6"/>
  <c r="J12" i="6"/>
  <c r="J11" i="6"/>
  <c r="J10" i="6"/>
  <c r="J9" i="6"/>
  <c r="J8" i="6"/>
  <c r="J7" i="6"/>
  <c r="B29" i="6" s="1"/>
  <c r="F16" i="5"/>
  <c r="F15" i="5"/>
  <c r="F14" i="5"/>
  <c r="F13" i="5"/>
  <c r="F12" i="5"/>
  <c r="F11" i="5"/>
  <c r="F10" i="5"/>
  <c r="F9" i="5"/>
  <c r="F8" i="5"/>
  <c r="F7" i="5"/>
  <c r="F45" i="4"/>
  <c r="E45" i="4"/>
  <c r="D45" i="4"/>
  <c r="B45" i="4"/>
  <c r="C45" i="4" s="1"/>
  <c r="D44" i="4"/>
  <c r="B44" i="4"/>
  <c r="D43" i="4"/>
  <c r="B43" i="4"/>
  <c r="D42" i="4"/>
  <c r="B42" i="4"/>
  <c r="D41" i="4"/>
  <c r="B41" i="4"/>
  <c r="D40" i="4"/>
  <c r="B40" i="4"/>
  <c r="D39" i="4"/>
  <c r="B39" i="4"/>
  <c r="E6" i="4"/>
  <c r="C6" i="4"/>
  <c r="B23" i="9" l="1"/>
  <c r="C18" i="12" s="1"/>
  <c r="L7" i="9"/>
  <c r="B25" i="9" s="1"/>
  <c r="B20" i="5"/>
  <c r="B19" i="5"/>
  <c r="F44" i="4"/>
  <c r="C29" i="12"/>
  <c r="E44" i="4"/>
  <c r="D29" i="12" s="1"/>
  <c r="C44" i="4"/>
  <c r="C28" i="12"/>
  <c r="F43" i="4"/>
  <c r="E43" i="4"/>
  <c r="D28" i="12" s="1"/>
  <c r="C43" i="4"/>
  <c r="C27" i="12"/>
  <c r="F42" i="4"/>
  <c r="E42" i="4"/>
  <c r="D27" i="12" s="1"/>
  <c r="C42" i="4"/>
  <c r="E41" i="4"/>
  <c r="D26" i="12" s="1"/>
  <c r="F41" i="4"/>
  <c r="C41" i="4"/>
  <c r="C26" i="12"/>
  <c r="F40" i="4"/>
  <c r="E40" i="4"/>
  <c r="D25" i="12" s="1"/>
  <c r="C40" i="4"/>
  <c r="C25" i="12"/>
  <c r="F39" i="4"/>
  <c r="E39" i="4"/>
  <c r="D24" i="12" s="1"/>
  <c r="C39" i="4"/>
  <c r="C24" i="12"/>
  <c r="C16" i="12" l="1"/>
  <c r="B21" i="5"/>
  <c r="B47" i="4"/>
  <c r="C13" i="12" l="1"/>
  <c r="B49" i="4"/>
  <c r="C15" i="12" s="1"/>
  <c r="B48" i="4"/>
  <c r="C14"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Toolkit guide</author>
  </authors>
  <commentList>
    <comment ref="D7" authorId="0" shapeId="0" xr:uid="{820046C5-3913-6D48-A58C-4BA1A0366880}">
      <text>
        <r>
          <rPr>
            <sz val="12"/>
            <color theme="1"/>
            <rFont val="Aptos Narrow"/>
            <family val="2"/>
            <scheme val="minor"/>
          </rPr>
          <t>Score the condition as it is today, using evidence. 1 = absent or contradicted ... 5 = proven, repeatable, embedded. See row 5 and the Scoring Guide tab for what each number looks like for this criterion. Leave blank if there is no evidence.</t>
        </r>
      </text>
    </comment>
    <comment ref="E7" authorId="0" shapeId="0" xr:uid="{2A0FC866-2E19-9B47-B446-03376917EDD2}">
      <text>
        <r>
          <rPr>
            <sz val="12"/>
            <color theme="1"/>
            <rFont val="Aptos Narrow"/>
            <family val="2"/>
            <scheme val="minor"/>
          </rPr>
          <t>Name the source and date, e.g. "Provincial budget 2026/27, line 4.2" or "Interviews with 3 operators, Oct 2026". Label anything unverified as an assumption or stakeholder view.</t>
        </r>
      </text>
    </comment>
    <comment ref="F7" authorId="0" shapeId="0" xr:uid="{B68E0E95-E0AD-AE4C-BD9C-9F33C17252D0}">
      <text>
        <r>
          <rPr>
            <sz val="12"/>
            <color theme="1"/>
            <rFont val="Aptos Narrow"/>
            <family val="2"/>
            <scheme val="minor"/>
          </rPr>
          <t>The single most important step that would raise this score or close the evidence gap. Required for scores of 1-2 and for blanks. Say what, who, by when and what evidence shows it is done. Examples below the summary 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Toolkit guide</author>
  </authors>
  <commentList>
    <comment ref="D6" authorId="0" shapeId="0" xr:uid="{29B014EC-0657-E143-B3D3-DE0A2D78B0FF}">
      <text>
        <r>
          <rPr>
            <sz val="12"/>
            <color theme="1"/>
            <rFont val="Aptos Narrow"/>
            <family val="2"/>
            <scheme val="minor"/>
          </rPr>
          <t>Severity: how much this constraint blocks progress toward execution, if nothing else changes. 1 = minor friction ... 5 = the opportunity cannot proceed until it is resolved. Full key in row 5.</t>
        </r>
      </text>
    </comment>
    <comment ref="E6" authorId="0" shapeId="0" xr:uid="{F91A64EF-EACA-EB41-AAB6-5866268B597E}">
      <text>
        <r>
          <rPr>
            <sz val="12"/>
            <color theme="1"/>
            <rFont val="Aptos Narrow"/>
            <family val="2"/>
            <scheme val="minor"/>
          </rPr>
          <t>Immediacy: how soon this must be resolved for the opportunity to keep moving. 1 = only matters at scale (24+ months) ... 5 = blocks the next decision now. The bands match the PowerPoint roadmap horizons.</t>
        </r>
      </text>
    </comment>
    <comment ref="F6" authorId="0" shapeId="0" xr:uid="{A69A2566-68FE-C74F-9411-61CB341AB72A}">
      <text>
        <r>
          <rPr>
            <sz val="12"/>
            <color theme="1"/>
            <rFont val="Aptos Narrow"/>
            <family val="2"/>
            <scheme val="minor"/>
          </rPr>
          <t>Calculated: Severity x Immediacy (1 to 25). The highest score becomes the primary binding constraint, the second highest the secondary constraint. If two constraints tie, the one listed first is shown.</t>
        </r>
      </text>
    </comment>
    <comment ref="G6" authorId="0" shapeId="0" xr:uid="{D7348744-0410-8542-9F35-03FD88E7A43E}">
      <text>
        <r>
          <rPr>
            <sz val="12"/>
            <color theme="1"/>
            <rFont val="Aptos Narrow"/>
            <family val="2"/>
            <scheme val="minor"/>
          </rPr>
          <t>Example: "Department has authority but no budget line for FY27 (budget statement); payments to pilot clinics averaged 120 days late (operator records). Root cause: purchasing sits outside the medium-term budget."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Toolkit guide</author>
  </authors>
  <commentList>
    <comment ref="D6" authorId="0" shapeId="0" xr:uid="{085224AC-05D6-144F-92FF-95105720EDF3}">
      <text>
        <r>
          <rPr>
            <sz val="12"/>
            <color theme="1"/>
            <rFont val="Aptos Narrow"/>
            <family val="2"/>
            <scheme val="minor"/>
          </rPr>
          <t>Mandate: is this role within the actor's formal legal or organisational remit?</t>
        </r>
      </text>
    </comment>
    <comment ref="E6" authorId="0" shapeId="0" xr:uid="{D7C12FEF-B0A5-BE4C-9FC9-620DE9BA05A4}">
      <text>
        <r>
          <rPr>
            <sz val="12"/>
            <color theme="1"/>
            <rFont val="Aptos Narrow"/>
            <family val="2"/>
            <scheme val="minor"/>
          </rPr>
          <t>Incentive: does the actor gain from the opportunity succeeding, or lose (budget, control, rents, relevance)? Source: Word Tool 1, section 5.</t>
        </r>
      </text>
    </comment>
    <comment ref="F6" authorId="0" shapeId="0" xr:uid="{29373EEB-328E-6B42-B2A1-991D031AA9B8}">
      <text>
        <r>
          <rPr>
            <sz val="12"/>
            <color theme="1"/>
            <rFont val="Aptos Narrow"/>
            <family val="2"/>
            <scheme val="minor"/>
          </rPr>
          <t>Authority: can the actor commit decisions, budget, approvals or assets? Source: Word Tool 1, section 3.</t>
        </r>
      </text>
    </comment>
    <comment ref="G6" authorId="0" shapeId="0" xr:uid="{924171A4-716F-8541-A862-0A0381A90348}">
      <text>
        <r>
          <rPr>
            <sz val="12"/>
            <color theme="1"/>
            <rFont val="Aptos Narrow"/>
            <family val="2"/>
            <scheme val="minor"/>
          </rPr>
          <t>Capacity: does the actor have the staff, systems, finance and track record to perform at the required scale?</t>
        </r>
      </text>
    </comment>
    <comment ref="H6" authorId="0" shapeId="0" xr:uid="{ABCC5331-7688-5340-8000-FDA029EF8D46}">
      <text>
        <r>
          <rPr>
            <sz val="12"/>
            <color theme="1"/>
            <rFont val="Aptos Narrow"/>
            <family val="2"/>
            <scheme val="minor"/>
          </rPr>
          <t>Legitimacy: is the actor trusted by users, communities and peer institutions? Source: Word Tool 1, section 8.</t>
        </r>
      </text>
    </comment>
    <comment ref="I6" authorId="0" shapeId="0" xr:uid="{AB59A47A-6F31-4541-A2DC-9558ED955C9D}">
      <text>
        <r>
          <rPr>
            <sz val="12"/>
            <color theme="1"/>
            <rFont val="Aptos Narrow"/>
            <family val="2"/>
            <scheme val="minor"/>
          </rPr>
          <t>Risk-bearing: can the actor absorb losses, delays or liabilities if things go wrong (balance sheet, mandate, political cover)?</t>
        </r>
      </text>
    </comment>
    <comment ref="J6" authorId="0" shapeId="0" xr:uid="{670DDDAE-C7CD-FC42-A942-6961B763389C}">
      <text>
        <r>
          <rPr>
            <sz val="12"/>
            <color theme="1"/>
            <rFont val="Aptos Narrow"/>
            <family val="2"/>
            <scheme val="minor"/>
          </rPr>
          <t>Calculated: simple average of the six scores.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Toolkit guide</author>
  </authors>
  <commentList>
    <comment ref="E6" authorId="0" shapeId="0" xr:uid="{5E98A8E3-0685-D543-B82B-069D6F8D17A7}">
      <text>
        <r>
          <rPr>
            <sz val="12"/>
            <color theme="1"/>
            <rFont val="Aptos Narrow"/>
            <family val="2"/>
            <scheme val="minor"/>
          </rPr>
          <t>Example (SR2): "Comparable service tenders took 14-18 months in 2024-25 (provincial tender register); no framework agreement exists."</t>
        </r>
      </text>
    </comment>
    <comment ref="F6" authorId="0" shapeId="0" xr:uid="{E53A9332-A462-0D4D-BCA5-4C23661CAAA9}">
      <text>
        <r>
          <rPr>
            <sz val="12"/>
            <color theme="1"/>
            <rFont val="Aptos Narrow"/>
            <family val="2"/>
            <scheme val="minor"/>
          </rPr>
          <t>Example (SR2): "Technical assistance to draft standard bid documents; explore a framework contract with provincial treasury."</t>
        </r>
      </text>
    </comment>
    <comment ref="G6" authorId="0" shapeId="0" xr:uid="{E78779B2-529D-594B-BF0F-6A5225833994}">
      <text>
        <r>
          <rPr>
            <sz val="12"/>
            <color theme="1"/>
            <rFont val="Aptos Narrow"/>
            <family val="2"/>
            <scheme val="minor"/>
          </rPr>
          <t>Name one accountable person or institution, e.g. "Toolkit lead with treasury procurement unit".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Toolkit guide</author>
  </authors>
  <commentList>
    <comment ref="E6" authorId="0" shapeId="0" xr:uid="{5EE6FB77-FA3E-7C45-A3CC-3DD1AB3C268E}">
      <text>
        <r>
          <rPr>
            <sz val="12"/>
            <color theme="1"/>
            <rFont val="Aptos Narrow"/>
            <family val="2"/>
            <scheme val="minor"/>
          </rPr>
          <t>Fixed: the model this statement is evidence for. The tool averages the scores of each model's statements.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Toolkit guide</author>
  </authors>
  <commentList>
    <comment ref="C6" authorId="0" shapeId="0" xr:uid="{F005C241-BA78-5C46-97A9-659635EE4B10}">
      <text>
        <r>
          <rPr>
            <sz val="12"/>
            <color theme="1"/>
            <rFont val="Aptos Narrow"/>
            <family val="2"/>
            <scheme val="minor"/>
          </rPr>
          <t>Mandate fit: is this role within the institution's charter, strategy or legal remit?</t>
        </r>
      </text>
    </comment>
    <comment ref="D6" authorId="0" shapeId="0" xr:uid="{22622A1B-ADF9-E042-A78E-A64091C2F61F}">
      <text>
        <r>
          <rPr>
            <sz val="12"/>
            <color theme="1"/>
            <rFont val="Aptos Narrow"/>
            <family val="2"/>
            <scheme val="minor"/>
          </rPr>
          <t>Authority: can it make the decisions the role needs (approve, contract, commit funds)?</t>
        </r>
      </text>
    </comment>
    <comment ref="E6" authorId="0" shapeId="0" xr:uid="{62C86768-D0F8-A84C-BC89-462E1B677D0B}">
      <text>
        <r>
          <rPr>
            <sz val="12"/>
            <color rgb="FF000000"/>
            <rFont val="Aptos Narrow"/>
            <family val="2"/>
          </rPr>
          <t>Capability: does it have the skills, systems and track record for this role?</t>
        </r>
      </text>
    </comment>
    <comment ref="F6" authorId="0" shapeId="0" xr:uid="{65529276-A95B-4E4D-9323-60ACDD23580D}">
      <text>
        <r>
          <rPr>
            <sz val="12"/>
            <color theme="1"/>
            <rFont val="Aptos Narrow"/>
            <family val="2"/>
            <scheme val="minor"/>
          </rPr>
          <t>Capital / resources: can it fund, staff and sustain the role for the time needed?</t>
        </r>
      </text>
    </comment>
    <comment ref="G6" authorId="0" shapeId="0" xr:uid="{25373748-82D9-EA42-8DA2-D635498C41FA}">
      <text>
        <r>
          <rPr>
            <sz val="12"/>
            <color theme="1"/>
            <rFont val="Aptos Narrow"/>
            <family val="2"/>
            <scheme val="minor"/>
          </rPr>
          <t>Legitimacy: would partners, government and communities accept it in this role?</t>
        </r>
      </text>
    </comment>
    <comment ref="H6" authorId="0" shapeId="0" xr:uid="{CFFC351F-97D2-2245-A50E-EDE2EECCB3C6}">
      <text>
        <r>
          <rPr>
            <sz val="12"/>
            <color theme="1"/>
            <rFont val="Aptos Narrow"/>
            <family val="2"/>
            <scheme val="minor"/>
          </rPr>
          <t>Risk appetite: will it accept the losses, liabilities or reputational exposure this role brings?</t>
        </r>
      </text>
    </comment>
    <comment ref="I6" authorId="0" shapeId="0" xr:uid="{47EBBB8D-97C4-834B-B1DB-5007928ECD09}">
      <text>
        <r>
          <rPr>
            <sz val="12"/>
            <color theme="1"/>
            <rFont val="Aptos Narrow"/>
            <family val="2"/>
            <scheme val="minor"/>
          </rPr>
          <t>Calculated: simple average of the six scores. 4+ = candidate role; 2 or below = assign elsewhere.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Toolkit guide</author>
  </authors>
  <commentList>
    <comment ref="F6" authorId="0" shapeId="0" xr:uid="{34A94896-1D97-F147-A496-C4FDE91975CE}">
      <text>
        <r>
          <rPr>
            <sz val="12"/>
            <color theme="1"/>
            <rFont val="Aptos Narrow"/>
            <family val="2"/>
            <scheme val="minor"/>
          </rPr>
          <t>What must be true before this capital is deployed, and the evidence that it is. Example (guarantee): "Only after a signed purchasing contract and 12 months of on-time claims data."</t>
        </r>
      </text>
    </comment>
    <comment ref="G6" authorId="0" shapeId="0" xr:uid="{8F4B81AC-A817-AA4F-8DB4-612A05727173}">
      <text>
        <r>
          <rPr>
            <sz val="12"/>
            <color theme="1"/>
            <rFont val="Aptos Narrow"/>
            <family val="2"/>
            <scheme val="minor"/>
          </rPr>
          <t>Named or likely provider and instrument, e.g. "DFI partial guarantee on department payments".</t>
        </r>
      </text>
    </comment>
    <comment ref="H6" authorId="0" shapeId="0" xr:uid="{D8BB3F32-A617-7340-8DAB-9E9F338A8010}">
      <text>
        <r>
          <rPr>
            <sz val="12"/>
            <color theme="1"/>
            <rFont val="Aptos Narrow"/>
            <family val="2"/>
            <scheme val="minor"/>
          </rPr>
          <t>When this capital enters, using the PowerPoint stages: Foundations, Preparation, Early deployment, Scale, Recycling / transition.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Toolkit guide</author>
  </authors>
  <commentList>
    <comment ref="G6" authorId="0" shapeId="0" xr:uid="{80FF8DD2-27E4-5B4D-8048-4C6BE618FAA6}">
      <text>
        <r>
          <rPr>
            <sz val="12"/>
            <color theme="1"/>
            <rFont val="Aptos Narrow"/>
            <family val="2"/>
            <scheme val="minor"/>
          </rPr>
          <t>The actor able to control the risk (reduce its probability) or absorb it (bear the consequence) at least cost. Often different from the current owner.</t>
        </r>
      </text>
    </comment>
    <comment ref="J6" authorId="0" shapeId="0" xr:uid="{B7B130DC-1762-E34A-B020-96D9FA7CA514}">
      <text>
        <r>
          <rPr>
            <sz val="12"/>
            <color theme="1"/>
            <rFont val="Aptos Narrow"/>
            <family val="2"/>
            <scheme val="minor"/>
          </rPr>
          <t>Your overall rating of the risk that remains after the mitigation in column I, on a 1-5 scale (row 5). Not comparable with the 1-25 inherent score.</t>
        </r>
      </text>
    </comment>
    <comment ref="K6" authorId="0" shapeId="0" xr:uid="{C550400D-6E6E-1946-B968-2358EB99AEDE}">
      <text>
        <r>
          <rPr>
            <sz val="12"/>
            <color theme="1"/>
            <rFont val="Aptos Narrow"/>
            <family val="2"/>
            <scheme val="minor"/>
          </rPr>
          <t>The observable signal that triggers action, e.g. "Average claim age above 60 days for two months".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Toolkit guide</author>
  </authors>
  <commentList>
    <comment ref="B37" authorId="0" shapeId="0" xr:uid="{B31B83CA-311E-8B4C-B9C3-3F9C25C97F7A}">
      <text>
        <r>
          <rPr>
            <sz val="12"/>
            <color theme="1"/>
            <rFont val="Aptos Narrow"/>
            <family val="2"/>
            <scheme val="minor"/>
          </rPr>
          <t>Draw these from the Scorecard priority actions (column F) and the strengthening actions in System Readiness. Each needs an owner and a date in the next row.</t>
        </r>
      </text>
    </comment>
  </commentList>
</comments>
</file>

<file path=xl/sharedStrings.xml><?xml version="1.0" encoding="utf-8"?>
<sst xmlns="http://schemas.openxmlformats.org/spreadsheetml/2006/main" count="873" uniqueCount="718">
  <si>
    <t>Deployability toolkit</t>
  </si>
  <si>
    <t>Diagnostic, model, role, capital and risk decision support</t>
  </si>
  <si>
    <t>Colour key</t>
  </si>
  <si>
    <t>Yellow cells: you enter</t>
  </si>
  <si>
    <t>Blue cells: calculated, do not edit</t>
  </si>
  <si>
    <t>Grey panels: guidance and examples</t>
  </si>
  <si>
    <t>What this toolkit does</t>
  </si>
  <si>
    <t>How to score</t>
  </si>
  <si>
    <t xml:space="preserve">
Use this toolkit to assess whether a social-impact or development opportunity is ready to move forward.
It helps you build a clear, evidence-based view of:
- how ready the opportunity is;
- what is preventing it from moving forward;
- which organisations should play which roles;
- which partnership model is the best fit;
- what types of capital may be needed, and in what order; and
- how key risks should be allocated and managed.
The toolkit turns these findings into a structured assessment that can support partnership design, internal decisions, stakeholder discussions and next-step planning.</t>
  </si>
  <si>
    <t>Use the 1 to 5 scale consistently:
- 1: Critical weakness. The condition is absent or contradicted by the evidence.
- 2: Significant gaps. Some elements exist, but they are informal, unreliable or untested.
- 3: Partially developed. The condition works in a limited setting but is not yet robust or repeatable.
- 4: Strong. The condition is operational, supported by evidence and broadly reliable.
- 5: Fully ready. The condition is proven, repeatable and institutionally embedded.
What "5" (optimal) means: not perfection. A 5 means a funder, partner or decision-maker would need no further evidence on this criterion to proceed, and the condition would survive a change of staff, budget cycle or leadership.
Some tools use different scales (Severity and Immediacy, Likelihood and Impact, Need and Readiness, fit scores). Each tool shows its own key in row 5, a pop-up appears when you select a score cell, and the Scoring Guide tab describes what 1, 3 and 5 look like for every Scorecard criterion.</t>
  </si>
  <si>
    <t>How to use the toolkit</t>
  </si>
  <si>
    <t>Scoring rules</t>
  </si>
  <si>
    <t xml:space="preserve">
- Score only what the available evidence supports.
- A high score means the condition is demonstrably present, not simply planned or intended.
- Record the evidence or rationale for each score.
- If evidence is missing, leave the score blank or record the evidence gap. Do not guess.
- Where participants disagree, record the different views and the reason for the disagreement.
- Treat the score as a structured basis for discussion and decision-making, not as a substitute for judgement.</t>
  </si>
  <si>
    <t xml:space="preserve">
Step 1: Complete the Opportunity Profile</t>
  </si>
  <si>
    <t>Record the basic information about the opportunity, including its location, sector, current stage, intended users or beneficiaries, potential payer, delivery actors and the decision the assessment needs to support.
Output: A shared description of the opportunity and the scope of the assessment.</t>
  </si>
  <si>
    <t xml:space="preserve">
Step 2: Complete the Deployability Scorecard</t>
  </si>
  <si>
    <t>Assess the opportunity across seven dimensions: demand, finance, operations, risk, institutions, legitimacy and enabling systems. For every score, record the evidence or reasoning behind it. Do not score an aspiration as if it were already in place. 
Output: An overall deployability score, a readiness rating and a view of the strongest and weakest dimensions.</t>
  </si>
  <si>
    <t xml:space="preserve">
Step 3: Assess the Binding Constraints</t>
  </si>
  <si>
    <t xml:space="preserve">
Identify the specific constraints preventing the opportunity from moving forward. Rate each for Severity and Immediacy; the tool multiplies them and ranks the constraints automatically. Treat the top-ranked constraint as a hypothesis: apply the binding-constraint test, then confirm or override it.  Output: A ranked list of constraints, the confirmed primary binding constraint and an initial response.</t>
  </si>
  <si>
    <t xml:space="preserve">
Step 4: Map the Relevant Actors</t>
  </si>
  <si>
    <t xml:space="preserve">
Identify the organisations and stakeholder groups involved or required. Assess their mandates, incentives, authority, capacity, legitimacy and ability to carry risk.
Output: A map of the current actors, the roles they could play and any important gaps in the partnership ecosystem</t>
  </si>
  <si>
    <t xml:space="preserve">
Step 5: Assess System Readiness</t>
  </si>
  <si>
    <t xml:space="preserve">
Examine whether the surrounding systems can support implementation and scale. This includes financial, administrative, regulatory, operational, data, community-engagement and accountability systems.
Output: A view of the enabling systems that are ready, the systems that need strengthening and the actions required.</t>
  </si>
  <si>
    <t xml:space="preserve">
Working-version notice</t>
  </si>
  <si>
    <t xml:space="preserve">
Step 6: Select the Partnership Model</t>
  </si>
  <si>
    <t xml:space="preserve">
This workbook is a working Version 1 designed for testing, feedback and revision.
Its questions, scoring thresholds, model logic and weightings should be tested against real opportunities before they are treated as final. Thresholds and weightings are transparent and may be edited where marked.
When changes are made, record:
- what was changed;
- why it was changed;
- who approved the change;
- the date of the change; and
- the version number.
This will help preserve consistency across assessments while allowing the toolkit to improve through use.</t>
  </si>
  <si>
    <t xml:space="preserve">
Use the evidence from the earlier tools to assess which partnership model best addresses the opportunity’s main constraints:
1. Aggregation and Warehouse Platforms for fragmented or sub-scale opportunities;
2. Integrated Project Preparation and Guarantee Platforms for underprepared opportunities or risks that require structured mitigation; or
3. Predictable Delivery Networks for fragmented providers, inconsistent delivery systems or weak purchasing and payment arrangements.
Some opportunities may require a hybrid model or a sequence of models.
Output: A recommended primary partnership model, any supporting model and the conditions required for the model to work.</t>
  </si>
  <si>
    <t xml:space="preserve">
Step 7: Select Institutional Roles</t>
  </si>
  <si>
    <t xml:space="preserve">
Test which roles one institution (by default the lead institution) can credibly play, scoring mandate, authority, capability, resources, legitimacy and risk appetite for each role. Copy the tab to assess another institution. A role should follow capability, not ambition.  Output: Candidate roles, roles to assign to other actors, and role boundaries.</t>
  </si>
  <si>
    <t xml:space="preserve">
Step 8: Plan the Capital Pathway</t>
  </si>
  <si>
    <t xml:space="preserve">
Identify which forms of capital are appropriate at the opportunity’s current stage and what may be required later. Consider grants, market-building grants, technical assistance, catalytic capital, first-loss capital, guarantees, concessional finance, blended finance, domestic capital, commercial capital and capital recycling.
Capital should follow readiness and address a defined constraint. It should not be used to hide weak demand, poor preparation or an unclear operating model.
Output: A proposed capital pathway showing the instruments, providers, conditions and sequence of support.</t>
  </si>
  <si>
    <t xml:space="preserve">
Step 9: Allocate and Manage Risk</t>
  </si>
  <si>
    <t xml:space="preserve">
Identify the material risks, assess their likelihood and impact, and determine which actor is best placed to manage each one. Record the proposed treatment, mitigation instrument, residual risk and monitoring trigger.
Output: A risk-allocation plan showing who carries each risk, how it will be managed and what remains after mitigation.</t>
  </si>
  <si>
    <t>What the workbook calculates for you</t>
  </si>
  <si>
    <t>Step 10: Review the Dashboard</t>
  </si>
  <si>
    <t>Scorecard: dimension averages, RAG status, overall score (/140), overall rating and the weakest dimension.
Binding Constraints: priority score (Severity x Immediacy), primary and secondary constraint, and a suggested model.
Actor Map: overall fit per actor and the strongest actor.
System Readiness: average and RAG per system, and the weakest system.
Partnership Model Selection: average fit per model and the recommended model.
Role Selection: overall fit per role, best-fit role and top three candidate roles.
Capital Sequencing: highest-need and most-ready capital type.
Risk Allocation: inherent score per risk, the highest risk and average residual risk.
Dashboard: pulls all of the above onto one page.
What stays with you: the evidence, the scores, the binding-constraint test, and every final decision. The calculations are prompts for discussion, not answers.</t>
  </si>
  <si>
    <t xml:space="preserve">
Use the dashboard to bring the main findings together. Review the deployability score, binding constraint, recommended model, institutional role, capital priority and highest risks.
Use these findings to agree on a decision, the next three actions, action owners, timing and any assumptions that still need to be tested.
Output: A concise decision summary and action plan.</t>
  </si>
  <si>
    <t>Short on time? Rapid screen</t>
  </si>
  <si>
    <t>For a first screen, complete only the Opportunity Profile, Deployability Scorecard and Binding Constraints (with the relevant Word interview and political economy sections). Complete the remaining tools when the opportunity moves to full partnership design.</t>
  </si>
  <si>
    <t>Scoring Guide</t>
  </si>
  <si>
    <t>What each score looks like. Use this when you are unsure between two numbers. Score 2 and 4 sit between the descriptions shown. If none of the descriptions fits and there is no evidence, leave the score blank and record a priority action.</t>
  </si>
  <si>
    <t>Part A. What a 5 (optimal) means</t>
  </si>
  <si>
    <t>A 5 does not mean perfect. It means the condition is proven, repeatable and institutionally embedded: a funder, partner or decision-maker would need no further evidence on this criterion to proceed, and the condition would survive a change of staff, budget cycle or leadership. A 4 is operational and evidenced but not yet proven over time or at scale.</t>
  </si>
  <si>
    <t>Part B. Deployability Scorecard: criterion-by-criterion</t>
  </si>
  <si>
    <t>ID</t>
  </si>
  <si>
    <t>Criterion</t>
  </si>
  <si>
    <t>1 looks like...</t>
  </si>
  <si>
    <t>3 looks like...</t>
  </si>
  <si>
    <t>5 looks like...</t>
  </si>
  <si>
    <t>D1</t>
  </si>
  <si>
    <t>Demand visibility</t>
  </si>
  <si>
    <t>Users or purchasers are not identified, or need is assumed.</t>
  </si>
  <si>
    <t>Users identified and need evidenced in a limited area or by one source.</t>
  </si>
  <si>
    <t>Users and purchasers named and sized; need confirmed by several independent sources across the target area.</t>
  </si>
  <si>
    <t>D2</t>
  </si>
  <si>
    <t>Bankable demand</t>
  </si>
  <si>
    <t>Need exists but no one pays or is mandated to pay.</t>
  </si>
  <si>
    <t>A payment route exists for part of the demand (e.g. pilot contract, partial reimbursement).</t>
  </si>
  <si>
    <t>Demand is linked to an operating payment mechanism (budget line, tariff, contract, offtake) at target scale.</t>
  </si>
  <si>
    <t>D3</t>
  </si>
  <si>
    <t>Payer credibility</t>
  </si>
  <si>
    <t>No payer identified, or the payer lacks authority or budget.</t>
  </si>
  <si>
    <t>Payer has authority and a budget line or letter of intent, but a limited or irregular payment record.</t>
  </si>
  <si>
    <t>Multi-year budgeted, enforceable commitment and two or more years of on-time payment.</t>
  </si>
  <si>
    <t>D4</t>
  </si>
  <si>
    <t>Demand predictability</t>
  </si>
  <si>
    <t>Volumes cannot be estimated.</t>
  </si>
  <si>
    <t>Volumes estimated from pilot or proxy data, with wide ranges.</t>
  </si>
  <si>
    <t>Volumes forecast from multi-year data or contractual commitments, with narrow ranges.</t>
  </si>
  <si>
    <t>F1</t>
  </si>
  <si>
    <t>Revenue / repayment logic</t>
  </si>
  <si>
    <t>No identified source of revenue or repayment.</t>
  </si>
  <si>
    <t>Source identified but untested, or covers only part of costs.</t>
  </si>
  <si>
    <t>Source is contracted or proven and covers costs or repayment at target scale.</t>
  </si>
  <si>
    <t>F2</t>
  </si>
  <si>
    <t>Cash-flow visibility</t>
  </si>
  <si>
    <t>No cash-flow model.</t>
  </si>
  <si>
    <t>Model built on assumptions; timing and variability partly evidenced.</t>
  </si>
  <si>
    <t>Model uses actual data; timing and variability evidenced and stress-tested.</t>
  </si>
  <si>
    <t>F3</t>
  </si>
  <si>
    <t>Capital fit</t>
  </si>
  <si>
    <t>Instruments do not match stage or risk (e.g. commercial debt before revenue).</t>
  </si>
  <si>
    <t>Mostly matched, but some instruments are premature or untested with providers.</t>
  </si>
  <si>
    <t>Every instrument matches readiness, and a provider has confirmed interest on those terms.</t>
  </si>
  <si>
    <t>F4</t>
  </si>
  <si>
    <t>Capital sequencing</t>
  </si>
  <si>
    <t>No view beyond current funding.</t>
  </si>
  <si>
    <t>Later sources named, but triggers or milestones unclear.</t>
  </si>
  <si>
    <t>Each next source named, with agreed milestones that trigger its entry.</t>
  </si>
  <si>
    <t>O1</t>
  </si>
  <si>
    <t>Operating model</t>
  </si>
  <si>
    <t>Activities and responsibilities undefined.</t>
  </si>
  <si>
    <t>Defined on paper, or proven only in a pilot.</t>
  </si>
  <si>
    <t>Documented, operating, and responsibilities contractually assigned.</t>
  </si>
  <si>
    <t>O2</t>
  </si>
  <si>
    <t>Provider capacity</t>
  </si>
  <si>
    <t>Providers lack capacity and there is no credible plan to build it.</t>
  </si>
  <si>
    <t>Capacity sufficient for a pilot; scale-up plan exists but is unfunded or untested.</t>
  </si>
  <si>
    <t>Providers already operate at or near target scale with acceptable quality.</t>
  </si>
  <si>
    <t>O3</t>
  </si>
  <si>
    <t>Standards and verification</t>
  </si>
  <si>
    <t>No common standards or verification.</t>
  </si>
  <si>
    <t>Standards exist but are applied inconsistently, or verification is manual or partial.</t>
  </si>
  <si>
    <t>Standards applied across providers; verification is routine and trusted by payers.</t>
  </si>
  <si>
    <t>O4</t>
  </si>
  <si>
    <t>Repeatability</t>
  </si>
  <si>
    <t>Every site or transaction is bespoke.</t>
  </si>
  <si>
    <t>Some standard templates and processes; replication still relies on key individuals.</t>
  </si>
  <si>
    <t>Standard contracts, processes and data allow replication without bespoke design.</t>
  </si>
  <si>
    <t>R1</t>
  </si>
  <si>
    <t>Risk identification</t>
  </si>
  <si>
    <t>Risks not listed.</t>
  </si>
  <si>
    <t>Main risks listed but not assessed, or social and political risks missing.</t>
  </si>
  <si>
    <t>All material risk types assessed with evidence and reviewed with partners.</t>
  </si>
  <si>
    <t>R2</t>
  </si>
  <si>
    <t>Risk allocation</t>
  </si>
  <si>
    <t>Risks sit by default with whoever is weakest.</t>
  </si>
  <si>
    <t>Allocation proposed but not agreed.</t>
  </si>
  <si>
    <t>Allocation agreed in writing with actors able to manage or absorb each risk.</t>
  </si>
  <si>
    <t>R3</t>
  </si>
  <si>
    <t>Targeted mitigation</t>
  </si>
  <si>
    <t>No mitigation, or generic tools not linked to specific risks.</t>
  </si>
  <si>
    <t>Instruments identified for key risks but not secured.</t>
  </si>
  <si>
    <t>Instruments secured, each linked to a defined risk and trigger.</t>
  </si>
  <si>
    <t>R4</t>
  </si>
  <si>
    <t>Counterparty confidence</t>
  </si>
  <si>
    <t>Partners unwilling to commit without major changes.</t>
  </si>
  <si>
    <t>Partners interested; roles, triggers or remedies still open.</t>
  </si>
  <si>
    <t>Partners have signed, or are ready to sign, on agreed terms.</t>
  </si>
  <si>
    <t>I1</t>
  </si>
  <si>
    <t>Role clarity</t>
  </si>
  <si>
    <t>Roles unassigned or contested.</t>
  </si>
  <si>
    <t>Most roles have a proposed owner; some gaps or overlaps.</t>
  </si>
  <si>
    <t>All essential roles assigned and accepted.</t>
  </si>
  <si>
    <t>I2</t>
  </si>
  <si>
    <t>Coordination ownership</t>
  </si>
  <si>
    <t>No one owns momentum.</t>
  </si>
  <si>
    <t>An actor leads informally, or the role is time-limited or unfunded.</t>
  </si>
  <si>
    <t>A funded, mandated actor owns coordination through implementation.</t>
  </si>
  <si>
    <t>I3</t>
  </si>
  <si>
    <t>Decision authority</t>
  </si>
  <si>
    <t>Unclear who approves.</t>
  </si>
  <si>
    <t>Formal approvers known, but actual practice or escalation unclear.</t>
  </si>
  <si>
    <t>Decision rights, approvals and escalation documented and working in practice.</t>
  </si>
  <si>
    <t>I4</t>
  </si>
  <si>
    <t>Strategic alignment</t>
  </si>
  <si>
    <t>Objectives conflict.</t>
  </si>
  <si>
    <t>Objectives broadly aligned; resources or incentives not committed.</t>
  </si>
  <si>
    <t>Objectives, incentives and resource commitments aligned and documented.</t>
  </si>
  <si>
    <t>L1</t>
  </si>
  <si>
    <t>Community trust</t>
  </si>
  <si>
    <t>Users distrust the actors or the model.</t>
  </si>
  <si>
    <t>Trusted local actors involved informally, or only in some areas.</t>
  </si>
  <si>
    <t>Trusted community-facing institutions are formal partners across the target area.</t>
  </si>
  <si>
    <t>L2</t>
  </si>
  <si>
    <t>Adoption readiness</t>
  </si>
  <si>
    <t>Affordability, access and uptake assumptions untested.</t>
  </si>
  <si>
    <t>Tested in a pilot or with a limited group.</t>
  </si>
  <si>
    <t>Tested across user groups at scale; uptake data confirm the assumptions.</t>
  </si>
  <si>
    <t>L3</t>
  </si>
  <si>
    <t>Inclusion safeguards</t>
  </si>
  <si>
    <t>Underserved groups not considered.</t>
  </si>
  <si>
    <t>Considered in design but not tracked.</t>
  </si>
  <si>
    <t>Built into design, access rules and monitoring, with disaggregated data.</t>
  </si>
  <si>
    <t>L4</t>
  </si>
  <si>
    <t>Accountability</t>
  </si>
  <si>
    <t>No feedback or grievance mechanism.</t>
  </si>
  <si>
    <t>Designed but not yet operating, or operating informally.</t>
  </si>
  <si>
    <t>Operating, used by users, and responses tracked and acted on.</t>
  </si>
  <si>
    <t>S1</t>
  </si>
  <si>
    <t>Procurement and administration</t>
  </si>
  <si>
    <t>No usable route to contract.</t>
  </si>
  <si>
    <t>Route exists but is slow or untested for this type of contract.</t>
  </si>
  <si>
    <t>Route used successfully for comparable contracts within acceptable time.</t>
  </si>
  <si>
    <t>S2</t>
  </si>
  <si>
    <t>Payment infrastructure</t>
  </si>
  <si>
    <t>No reliable way to move payments.</t>
  </si>
  <si>
    <t>Payments move, but with frequent delays or manual workarounds.</t>
  </si>
  <si>
    <t>Payments move reliably and on time, with reconciliation.</t>
  </si>
  <si>
    <t>S3</t>
  </si>
  <si>
    <t>Data and verification</t>
  </si>
  <si>
    <t>No usable data.</t>
  </si>
  <si>
    <t>Data exist but are incomplete, late or not trusted by financiers.</t>
  </si>
  <si>
    <t>Timely, reliable data used routinely for payment and financing decisions.</t>
  </si>
  <si>
    <t>S4</t>
  </si>
  <si>
    <t>Regulatory and enabling environment</t>
  </si>
  <si>
    <t>Licensing or policy blocks the model.</t>
  </si>
  <si>
    <t>Workable with exemptions, delays or pending reform.</t>
  </si>
  <si>
    <t>Regulation, licensing and enforcement support the model.</t>
  </si>
  <si>
    <t>Part C. Scales used in the other tools</t>
  </si>
  <si>
    <t>Tool</t>
  </si>
  <si>
    <t>Scale</t>
  </si>
  <si>
    <t>1 means...</t>
  </si>
  <si>
    <t>3 means...</t>
  </si>
  <si>
    <t>5 means...</t>
  </si>
  <si>
    <t>Tool 2</t>
  </si>
  <si>
    <t>Severity</t>
  </si>
  <si>
    <t>Minor friction; a workaround exists.</t>
  </si>
  <si>
    <t>Materially weakens the case; must be addressed in the design.</t>
  </si>
  <si>
    <t>The opportunity cannot proceed until it is resolved.</t>
  </si>
  <si>
    <t>Immediacy</t>
  </si>
  <si>
    <t>Matters only at scale (24+ months).</t>
  </si>
  <si>
    <t>Must be resolved within the next stage (6-12 months).</t>
  </si>
  <si>
    <t>Blocks the very next decision or action (0-90 days).</t>
  </si>
  <si>
    <t>Tool 3</t>
  </si>
  <si>
    <t>Actor criteria (mandate, incentive, authority, capacity, legitimacy, risk-bearing)</t>
  </si>
  <si>
    <t>Absent, or works against the opportunity.</t>
  </si>
  <si>
    <t>Partial or conditional.</t>
  </si>
  <si>
    <t>Demonstrated and documented for this kind of role.</t>
  </si>
  <si>
    <t>Tool 4</t>
  </si>
  <si>
    <t>System readiness</t>
  </si>
  <si>
    <t>Absent or contradicted by evidence.</t>
  </si>
  <si>
    <t>Works in a limited setting; not yet repeatable.</t>
  </si>
  <si>
    <t>Proven, repeatable and institutionally embedded.</t>
  </si>
  <si>
    <t>Tool 5</t>
  </si>
  <si>
    <t>How true is the statement?</t>
  </si>
  <si>
    <t>Not true or not applicable.</t>
  </si>
  <si>
    <t>Partly true, or true in some areas.</t>
  </si>
  <si>
    <t>Dominant feature, true across the opportunity.</t>
  </si>
  <si>
    <t>Tool 6</t>
  </si>
  <si>
    <t>Role fit (six criteria)</t>
  </si>
  <si>
    <t>Poor fit.</t>
  </si>
  <si>
    <t>Possible with support.</t>
  </si>
  <si>
    <t>Strong, proven fit.</t>
  </si>
  <si>
    <t>Tool 7</t>
  </si>
  <si>
    <t>Need</t>
  </si>
  <si>
    <t>Not needed at this stage.</t>
  </si>
  <si>
    <t>Useful, but does not address the binding constraint.</t>
  </si>
  <si>
    <t>Directly addresses the validated binding constraint now.</t>
  </si>
  <si>
    <t>Readiness</t>
  </si>
  <si>
    <t>Entry conditions not met.</t>
  </si>
  <si>
    <t>Some conditions met; provider interest unconfirmed.</t>
  </si>
  <si>
    <t>Conditions met and a provider is ready to commit.</t>
  </si>
  <si>
    <t>Tool 8</t>
  </si>
  <si>
    <t>Likelihood (next 24 months)</t>
  </si>
  <si>
    <t>Rare (under 10%).</t>
  </si>
  <si>
    <t>Possible (30-50%).</t>
  </si>
  <si>
    <t>Almost certain (over 80%).</t>
  </si>
  <si>
    <t>Impact</t>
  </si>
  <si>
    <t>Negligible.</t>
  </si>
  <si>
    <t>Material delay or cost; a component must be redesigned.</t>
  </si>
  <si>
    <t>Stops the opportunity or causes serious harm to users.</t>
  </si>
  <si>
    <t>Residual risk (after mitigation)</t>
  </si>
  <si>
    <t>Low; accept and monitor.</t>
  </si>
  <si>
    <t>Material; needs active management.</t>
  </si>
  <si>
    <t>Could still stop the opportunity.</t>
  </si>
  <si>
    <t>Direction matters: on the Scorecard, System Readiness, Actor Map, Role Selection and Readiness, 5 is better. For Severity, Immediacy, Likelihood, Impact and Residual risk, 5 is worse.</t>
  </si>
  <si>
    <t>Opportunity Profile</t>
  </si>
  <si>
    <t>Complete once. Key fields are pulled into the dashboard. Yellow cells are for you to fill in.</t>
  </si>
  <si>
    <t>Core information</t>
  </si>
  <si>
    <t>Opportunity name</t>
  </si>
  <si>
    <t>Country/geography</t>
  </si>
  <si>
    <t>Sector</t>
  </si>
  <si>
    <t>Lead institution</t>
  </si>
  <si>
    <t>Assessment date</t>
  </si>
  <si>
    <t>Assessment lead</t>
  </si>
  <si>
    <t>Current stage</t>
  </si>
  <si>
    <t>Short description</t>
  </si>
  <si>
    <t>Primary beneficiaries/users</t>
  </si>
  <si>
    <t>Payer/purchaser/offtaker</t>
  </si>
  <si>
    <t>Primary delivery actors</t>
  </si>
  <si>
    <t>Current funding/capital</t>
  </si>
  <si>
    <t>Target scale</t>
  </si>
  <si>
    <t>Key decision this assessment should support</t>
  </si>
  <si>
    <t>Tool 1 | Deployability Scorecard</t>
  </si>
  <si>
    <t>Score each criterion 1 to 5 using evidence (key in row 5; criterion-by-criterion descriptions in the Scoring Guide tab). Blank means not yet scored or no evidence, and is treated as incomplete, not zero. Yellow cells are for you; blue cells calculate automatically.</t>
  </si>
  <si>
    <t>SCORING KEY   1 = Critical weakness: absent or contradicted by evidence   |   2 = Significant gaps: elements exist but are informal, unreliable or untested   |   3 = Partially developed: works in a limited setting but not yet robust or repeatable   |   4 = Strong: operational, evidenced and broadly reliable   |   5 = Fully ready (optimal): proven, repeatable and institutionally embedded, so a decision-maker would need no further evidence on this point.   Leave blank if there is no evidence. Criterion-by-criterion descriptions: Scoring Guide tab.   Priority action: required for every score of 1 or 2 and every blank (examples below the summary).</t>
  </si>
  <si>
    <t>Opportunity</t>
  </si>
  <si>
    <t>Assessment Date</t>
  </si>
  <si>
    <t>Dimension</t>
  </si>
  <si>
    <t>Assessment criterion</t>
  </si>
  <si>
    <t>Score (1-5)</t>
  </si>
  <si>
    <t>Evidence / rationale</t>
  </si>
  <si>
    <t>Priority action (to raise the score or close the evidence gap)</t>
  </si>
  <si>
    <t>Action status</t>
  </si>
  <si>
    <t>Demand and Market Readiness</t>
  </si>
  <si>
    <t>Demand visibility
Target users, clients or purchasers are clearly identified and supported by evidence.</t>
  </si>
  <si>
    <t>Bankable demand
Need is linked to purchasing, reimbursement, procurement, offtake or recurring revenue.</t>
  </si>
  <si>
    <t>Payer credibility
The payer has willingness, authority, budget or liquidity, and a credible payment record.</t>
  </si>
  <si>
    <t>Demand predictability 
Volumes, utilization or purchasing commitments can be forecast with reasonable confidence.</t>
  </si>
  <si>
    <t>Financial and Capital Readiness</t>
  </si>
  <si>
    <t>Revenue/repayment logic 
Revenue, reimbursement, cost recovery or repayment sources are explicit.</t>
  </si>
  <si>
    <t>Cash-flow visibility
Timing, amount and variability of inflows and outflows can be modelled.</t>
  </si>
  <si>
    <t>Capital fit
The proposed instruments match the opportunity’s readiness, risk and affordability needs.</t>
  </si>
  <si>
    <t>Capital sequencing
There is a credible path from current support to later-stage financing or durable public/grant funding.</t>
  </si>
  <si>
    <t>Delivery and Operational Readiness</t>
  </si>
  <si>
    <t>Operating model
Activities, delivery channels, responsibilities and operating requirements are defined.</t>
  </si>
  <si>
    <t>Provider capacity
Delivery actors have or can build the capacity to perform at the intended scale.</t>
  </si>
  <si>
    <t>Standards and verification 
Quality, service, reporting and verification requirements are clear and usable.</t>
  </si>
  <si>
    <t>Repeatability
The model can be replicated through standard processes, contracts, data and role definitions.</t>
  </si>
  <si>
    <t>Risk and Structuring Readiness</t>
  </si>
  <si>
    <t>Risk identification
Material demand, payment, operational, political, social and financial risks are explicit.</t>
  </si>
  <si>
    <t>Risk allocation 
Risks sit with actors able to manage, mitigate or absorb them.</t>
  </si>
  <si>
    <t>Targeted mitigation
Guarantees, reserves, TA, insurance or other tools address specific constraints.</t>
  </si>
  <si>
    <t>Counterparty confidence
Roles, commitments, triggers and remedies are sufficiently clear for partners to proceed.</t>
  </si>
  <si>
    <t>Institutional and Coordination Readiness</t>
  </si>
  <si>
    <t>Role clarity
Funding, purchasing, delivery, regulation, accountability and coordination roles are assigned.</t>
  </si>
  <si>
    <t>Coordination ownership
A credible actor owns momentum from design through financing, implementation and learning.</t>
  </si>
  <si>
    <t>Decision authority
Approvals, decision rights, escalation routes and implementation authority are understood.</t>
  </si>
  <si>
    <t>Strategic alignment 
Participating institutions have aligned objectives, incentives and resource commitments.</t>
  </si>
  <si>
    <t>Legitimacy and Community Readiness</t>
  </si>
  <si>
    <t>Community trust
Trusted relationships and credible local or community-facing institutions support the opportunity.</t>
  </si>
  <si>
    <t>Adoption readiness
Affordability, access, behavior and uptake assumptions have been tested.</t>
  </si>
  <si>
    <t>Inclusion safeguards
Underserved groups are explicitly considered in design, access and performance monitoring.</t>
  </si>
  <si>
    <t>Accountability
Feedback, grievance, response and social-performance mechanisms are operational or designed.</t>
  </si>
  <si>
    <t>System Readiness</t>
  </si>
  <si>
    <t>Procurement and administration
Procurement, contracting and administrative systems can support execution.</t>
  </si>
  <si>
    <t>Payment infrastructure 
Claims, invoices, disbursements or collections can move reliably and on time.</t>
  </si>
  <si>
    <t>Data and verification
Data, reporting and verification systems support performance and financing decisions.</t>
  </si>
  <si>
    <t>Regulatory and enabling environment
Licensing, policy, infrastructure and enforcement conditions are workable.</t>
  </si>
  <si>
    <t>Dimension summary</t>
  </si>
  <si>
    <t>Average / 5</t>
  </si>
  <si>
    <t>Score / 20</t>
  </si>
  <si>
    <t>Completion</t>
  </si>
  <si>
    <t>RAG</t>
  </si>
  <si>
    <t xml:space="preserve">Primary Interpretation </t>
  </si>
  <si>
    <t>Overall deployability score</t>
  </si>
  <si>
    <t>/140</t>
  </si>
  <si>
    <t>Overall rating</t>
  </si>
  <si>
    <t>Lowest-scoring dimension</t>
  </si>
  <si>
    <t>How to read the results</t>
  </si>
  <si>
    <t>Dimension RAG</t>
  </si>
  <si>
    <t>Red = average below 2.5: a binding or critical weakness. Amber = 2.5 to 3.4: needs targeted structuring. Green = 3.5 or above: a strong readiness condition. A partly scored dimension shows a provisional RAG; check the Completion column.</t>
  </si>
  <si>
    <t>Deployable (120-140)</t>
  </si>
  <si>
    <t>Ready for financing or implementation decisions; remaining weaknesses are minor and owned.</t>
  </si>
  <si>
    <t>Near deployable (100-119)</t>
  </si>
  <si>
    <t>One or two dimensions need targeted work. Proceed with explicit conditions.</t>
  </si>
  <si>
    <t>Requires structuring (80-99)</t>
  </si>
  <si>
    <t>Several material weaknesses. Design and preparation work is needed before financing.</t>
  </si>
  <si>
    <t>Early stage (60-79)</t>
  </si>
  <si>
    <t>Foundational gaps across several dimensions. Focus on evidence, preparation and ownership.</t>
  </si>
  <si>
    <t>Pre-deployability (below 60)</t>
  </si>
  <si>
    <t>Not yet ready to structure. Validate demand, payment and ownership first.</t>
  </si>
  <si>
    <t>Priority action: what to write (examples, not counted)</t>
  </si>
  <si>
    <t>A priority action is the single most important step that would raise a weak score or close an evidence gap. Write one for every criterion scored 1 or 2 or left blank. Say what will be done, by whom, by when, and what evidence will show it is done. Track it in the Action status column.</t>
  </si>
  <si>
    <t>D3 Payer credibility, scored 2</t>
  </si>
  <si>
    <t>Obtain written confirmation of the FY27 budget line from the provincial health department and 12 months of payment records from the district treasury. Owner: Evidence lead. By: 30 Nov. Done when: both documents are filed and summarised in the Evidence column.</t>
  </si>
  <si>
    <t>O3 Standards and verification, scored 1</t>
  </si>
  <si>
    <t>Agree a draft common claims standard with three clinic operators and the department's M&amp;E unit. Owner: Toolkit lead. By: end of Q1. Done when: the signed-off draft is circulated to partners.</t>
  </si>
  <si>
    <t>L2 Adoption readiness, blank (no evidence)</t>
  </si>
  <si>
    <t>Run two user focus groups per district on affordability and access. Owner: Evidence lead with a CSO partner. By: 15 Jan. Done when: findings are recorded and a score is entered.</t>
  </si>
  <si>
    <t>Tool 2 | Binding Constraint Assessment</t>
  </si>
  <si>
    <t>Rate each constraint for Severity and Immediacy (key in row 5). The tool multiplies them (priority score, maximum 25) and ranks the constraints automatically: the highest becomes the primary binding constraint and drives the suggested model. Treat that as a starting hypothesis: apply the binding-constraint test, then confirm or override it in row 22. Note: here 5 means worse; on the Scorecard 5 means better.</t>
  </si>
  <si>
    <t>SEVERITY: how much does this block progress?   1 = Minor friction; a workaround exists   |   2 = Adds cost or delay but does not change the design   |   3 = Materially weakens the case; must be addressed in the design   |   4 = Progress possible only at small scale or with a major workaround   |   5 = The opportunity cannot proceed until it is resolved.
IMMEDIACY: how soon must it be resolved?   1 = Matters only at scale (24+ months)   |   2 = Within 12 to 24 months   |   3 = Within the next stage (6 to 12 months)   |   4 = Within 3 to 6 months   |   5 = Blocks the very next decision or action (0 to 90 days).</t>
  </si>
  <si>
    <t>Constraint</t>
  </si>
  <si>
    <t>Diagnostic test</t>
  </si>
  <si>
    <t>Severity (1 = minor, 5 = blocks progress)</t>
  </si>
  <si>
    <t>Immediacy (1 = later, 5 = now)</t>
  </si>
  <si>
    <t>Priority score (S x I)</t>
  </si>
  <si>
    <t>Evidence / root cause</t>
  </si>
  <si>
    <t>Suggested response</t>
  </si>
  <si>
    <t>C1</t>
  </si>
  <si>
    <t>Is use or need visible, validated and specific enough to support design?</t>
  </si>
  <si>
    <t>Validate demand and adoption.</t>
  </si>
  <si>
    <t>C2</t>
  </si>
  <si>
    <t>Payment credibility</t>
  </si>
  <si>
    <t>Is there a reliable payer, budget, reimbursement, purchase or offtake mechanism?</t>
  </si>
  <si>
    <t>Strengthen purchaser/payment architecture.</t>
  </si>
  <si>
    <t>C3</t>
  </si>
  <si>
    <t>Project preparation</t>
  </si>
  <si>
    <t>Are feasibility, commercial, legal, ESG, procurement and implementation requirements sufficiently prepared?</t>
  </si>
  <si>
    <t>Fund and coordinate preparation.</t>
  </si>
  <si>
    <t>C4</t>
  </si>
  <si>
    <t>Are material risks explicit and held by actors able to manage them?</t>
  </si>
  <si>
    <t>Reallocate and mitigate specific risks.</t>
  </si>
  <si>
    <t>C5</t>
  </si>
  <si>
    <t>Is one credible actor responsible for moving the opportunity from concept to execution?</t>
  </si>
  <si>
    <t>Assign an ecosystem orchestrator.</t>
  </si>
  <si>
    <t>C6</t>
  </si>
  <si>
    <t>Legitimacy and adoption</t>
  </si>
  <si>
    <t>Are trust, affordability, inclusion and accountability built into the model?</t>
  </si>
  <si>
    <t>Integrate CSOs, users and accountability systems.</t>
  </si>
  <si>
    <t>C7</t>
  </si>
  <si>
    <t>Delivery capacity</t>
  </si>
  <si>
    <t>Can providers deliver at required quality, volume and continuity?</t>
  </si>
  <si>
    <t>Build or integrate delivery capacity.</t>
  </si>
  <si>
    <t>C8</t>
  </si>
  <si>
    <t>Enabling systems</t>
  </si>
  <si>
    <t>Can procurement, regulation, payment, data and verification systems support scale?</t>
  </si>
  <si>
    <t>Strengthen foundations before scale.</t>
  </si>
  <si>
    <t>C9</t>
  </si>
  <si>
    <t>Institutional commitment</t>
  </si>
  <si>
    <t>Are mandates, budgets, decision rights and commitments credible and durable?</t>
  </si>
  <si>
    <t>Secure formal commitments and authority.</t>
  </si>
  <si>
    <t>C10</t>
  </si>
  <si>
    <t>Fragmentation / scale</t>
  </si>
  <si>
    <t>Are actors, assets, contracts or cash flows too dispersed or sub-scale?</t>
  </si>
  <si>
    <t>Consider aggregation and standardization.</t>
  </si>
  <si>
    <t>Prioritization output</t>
  </si>
  <si>
    <t>Primary binding constraint</t>
  </si>
  <si>
    <t>Secondary constraint</t>
  </si>
  <si>
    <t>Suggested primary model</t>
  </si>
  <si>
    <t>Confirmed binding constraint (after the test)</t>
  </si>
  <si>
    <t>Reason, if different from the ranked result</t>
  </si>
  <si>
    <t>Worked example (illustration only, not counted)</t>
  </si>
  <si>
    <t>No FY27 budget line; pilot payments averaged 120 days late. Root cause: purchasing sits outside the medium-term budget.</t>
  </si>
  <si>
    <t>Clinics can absorb pilot volumes; capacity limits appear only beyond 60 sites.</t>
  </si>
  <si>
    <t>Reading the example: payment credibility ranks first (25) and passes the test, because without a credible payer no clinic, lender or guarantor will commit. Delivery capacity is real but secondary: fixing it first would not unlock financing.</t>
  </si>
  <si>
    <t>Tool 3 | Actor Mapping</t>
  </si>
  <si>
    <t>List each organisation or group that is involved or needed (one per row) and score it 1 to 5 on the six criteria defined in row 5. Evidence comes from Word Tool 1 (Political Economy Assessment) and Tool 2 (Stakeholder Interview Guide). Overall fit is the simple average of the six scores. A worked example sits below the summary.</t>
  </si>
  <si>
    <t>WHAT EACH CRITERION ASKS   Mandate: is the role within its formal remit?   |   Incentive: does it gain from success, or lose? (Word Tool 1, section 5)   |   Authority: can it commit decisions, budget or assets? (Tool 1, section 3)   |   Capacity: staff, systems, finance and track record to perform   |   Legitimacy: trusted by users, communities and peers? (Tool 1, section 8)   |   Risk-bearing: can it absorb losses or delays if things go wrong?
SCALE   1 = Absent, or works against the opportunity   |   2 = Weak or unproven   |   3 = Partial or conditional   |   4 = Clear and evidenced   |   5 = Demonstrated and documented for this kind of role.</t>
  </si>
  <si>
    <t>Actor / institution</t>
  </si>
  <si>
    <t>Actor type</t>
  </si>
  <si>
    <t>Current / proposed role</t>
  </si>
  <si>
    <t>Mandate</t>
  </si>
  <si>
    <t>Incentive</t>
  </si>
  <si>
    <t>Authority</t>
  </si>
  <si>
    <t>Capacity</t>
  </si>
  <si>
    <t>Legitimacy</t>
  </si>
  <si>
    <t>Risk-bearing</t>
  </si>
  <si>
    <t>Overall fit</t>
  </si>
  <si>
    <t>Key contribution / evidence</t>
  </si>
  <si>
    <t>Gap or required action</t>
  </si>
  <si>
    <t>Actor system summary</t>
  </si>
  <si>
    <t>Strongest overall-fit actor</t>
  </si>
  <si>
    <t>Coordination owner identified?</t>
  </si>
  <si>
    <t>Credible payer/purchaser identified?</t>
  </si>
  <si>
    <t>Trusted community-facing actor identified?</t>
  </si>
  <si>
    <t>Critical missing actor/function</t>
  </si>
  <si>
    <t>Provincial Department of Health</t>
  </si>
  <si>
    <t>Government / public purchaser</t>
  </si>
  <si>
    <t>Purchaser</t>
  </si>
  <si>
    <t>Budget holder for primary care; Tool 1 section 3 shows procurement sits with provincial treasury.</t>
  </si>
  <si>
    <t>Weak claims processing: pair with a network manager.</t>
  </si>
  <si>
    <t>Clinic owners association</t>
  </si>
  <si>
    <t>CSO / community-facing organisation</t>
  </si>
  <si>
    <t>Provider voice; accountability partner</t>
  </si>
  <si>
    <t>Represents 140 clinics; highly trusted by members (8 interviews).</t>
  </si>
  <si>
    <t>Cannot carry financial risk: keep out of de-risking roles.</t>
  </si>
  <si>
    <t>Tool 4 | System Readiness Diagnostic</t>
  </si>
  <si>
    <t>Score how well each system works today, not what policy intends (same 1 to 5 scale as the Scorecard; key in row 5). This is the detailed view behind Scorecard criteria S1 to S4. Record the evidence, the action that would strengthen the system, and who owns it. Worked examples sit below the summary.</t>
  </si>
  <si>
    <t>SCORING KEY   1 = Critical weakness: absent or contradicted by evidence   |   2 = Significant gaps: elements exist but are informal, unreliable or untested   |   3 = Partially developed: works in a limited setting but not yet robust or repeatable   |   4 = Strong: operational, evidenced and broadly reliable   |   5 = Fully ready (optimal): proven, repeatable and institutionally embedded, so a decision-maker would need no further evidence on this point.   Leave blank if there is no evidence. Criterion-by-criterion descriptions: Scoring Guide tab.</t>
  </si>
  <si>
    <t>System</t>
  </si>
  <si>
    <t>Readiness criterion</t>
  </si>
  <si>
    <t>Score (1–5)</t>
  </si>
  <si>
    <t>Evidence</t>
  </si>
  <si>
    <t>Strengthening action</t>
  </si>
  <si>
    <t>Owner</t>
  </si>
  <si>
    <t>SR1</t>
  </si>
  <si>
    <t>Financial and administrative</t>
  </si>
  <si>
    <t>Payment rails are reliable, enforceable and timely.</t>
  </si>
  <si>
    <t>SR2</t>
  </si>
  <si>
    <t>Procurement is transparent, workable and sufficiently capable.</t>
  </si>
  <si>
    <t>SR3</t>
  </si>
  <si>
    <t>Public or institutional financial commitments are budget-backed and manageable.</t>
  </si>
  <si>
    <t>SR4</t>
  </si>
  <si>
    <t>Regulatory and governance</t>
  </si>
  <si>
    <t>Licensing, approvals and compliance pathways are clear.</t>
  </si>
  <si>
    <t>SR5</t>
  </si>
  <si>
    <t>Decision rights and coordination authority are credible.</t>
  </si>
  <si>
    <t>SR6</t>
  </si>
  <si>
    <t>Contracts and accountability obligations can be enforced.</t>
  </si>
  <si>
    <t>SR7</t>
  </si>
  <si>
    <t>Operational and delivery</t>
  </si>
  <si>
    <t>Logistics, infrastructure and service facilities support intended delivery.</t>
  </si>
  <si>
    <t>SR8</t>
  </si>
  <si>
    <t>Skilled personnel and institutional memory are sufficient.</t>
  </si>
  <si>
    <t>SR9</t>
  </si>
  <si>
    <t>Provider networks can maintain quality and continuity at scale.</t>
  </si>
  <si>
    <t>SR10</t>
  </si>
  <si>
    <t>Data, verification and learning</t>
  </si>
  <si>
    <t>Performance data are usable, timely and sufficiently reliable.</t>
  </si>
  <si>
    <t>SR11</t>
  </si>
  <si>
    <t>Verification supports claims, payments, outcomes or accountability.</t>
  </si>
  <si>
    <t>SR12</t>
  </si>
  <si>
    <t>Learning loops can change implementation based on evidence.</t>
  </si>
  <si>
    <t>SR13</t>
  </si>
  <si>
    <t>Relational and trust-based</t>
  </si>
  <si>
    <t>Key actors have working relationships and credible informal coordination.</t>
  </si>
  <si>
    <t>SR14</t>
  </si>
  <si>
    <t>The initiative has a legitimate narrative and sufficient political or institutional support.</t>
  </si>
  <si>
    <t>SR15</t>
  </si>
  <si>
    <t>Trust can be maintained through implementation challenges.</t>
  </si>
  <si>
    <t>SR16</t>
  </si>
  <si>
    <t>Community engagement and participation</t>
  </si>
  <si>
    <t>Users and communities can shape design and implementation.</t>
  </si>
  <si>
    <t>SR17</t>
  </si>
  <si>
    <t>Adoption, affordability and access constraints are actively managed.</t>
  </si>
  <si>
    <t>SR18</t>
  </si>
  <si>
    <t>Trusted channels support participation and communication.</t>
  </si>
  <si>
    <t>SR19</t>
  </si>
  <si>
    <t>Accountability, protection and monitoring</t>
  </si>
  <si>
    <t>Grievance and correction mechanisms are accessible and responsive.</t>
  </si>
  <si>
    <t>SR20</t>
  </si>
  <si>
    <t>Safeguards, data protection and inclusion controls are credible.</t>
  </si>
  <si>
    <t>SR21</t>
  </si>
  <si>
    <t>Social performance is monitored alongside financial and delivery performance.</t>
  </si>
  <si>
    <t>System summary</t>
  </si>
  <si>
    <t>Lowest-readiness system</t>
  </si>
  <si>
    <t>Worked examples (illustration only, not counted)</t>
  </si>
  <si>
    <t>Comparable service tenders took 14-18 months in 2024-25 (provincial tender register); no framework agreement exists.</t>
  </si>
  <si>
    <t>Technical assistance to draft standard bid documents; explore a framework contract.</t>
  </si>
  <si>
    <t>Toolkit lead with treasury procurement unit</t>
  </si>
  <si>
    <t>Pilot clinics submit paper claims; the district checks a 10% sample, about 6 weeks after the visit.</t>
  </si>
  <si>
    <t>Pilot digital claims capture in 20 clinics with automated checks before scale-up.</t>
  </si>
  <si>
    <t>Network manager (to be appointed)</t>
  </si>
  <si>
    <t>Clinic committees meet quarterly and changed opening hours in 2025 (minutes reviewed); no youth representation.</t>
  </si>
  <si>
    <t>Add youth and disability representatives to two committees and track their input.</t>
  </si>
  <si>
    <t>CSO partner</t>
  </si>
  <si>
    <t>Tool 5 | Partnership Model Selection</t>
  </si>
  <si>
    <t>Score each diagnostic statement once: how true is it of this opportunity? (key in row 5). Each statement points to one model (column E). The tool averages the scores for each model and recommends the highest. Read the result alongside the confirmed binding constraint; if two models score closely, note a hybrid or sequence in row 24.</t>
  </si>
  <si>
    <t>SCALE: how true is this statement of the opportunity?   1 = Not true or not applicable   |   2 = Slightly true   |   3 = Partly true, or true in some areas   |   4 = Largely true   |   5 = Dominant feature, true across the opportunity.   Statements M1 to M3 point to Model 1, M4 to M6 to Model 2, and M7 to M10 to Model 3.</t>
  </si>
  <si>
    <t>Selection criterion</t>
  </si>
  <si>
    <t>Diagnostic statement</t>
  </si>
  <si>
    <t>Points to</t>
  </si>
  <si>
    <t>M1</t>
  </si>
  <si>
    <t>Fragmentation</t>
  </si>
  <si>
    <t>Many similar actors, assets, contracts, receivables or cash flows are individually sub-scale.</t>
  </si>
  <si>
    <t>Model 1</t>
  </si>
  <si>
    <t>M2</t>
  </si>
  <si>
    <t>Standardization potential</t>
  </si>
  <si>
    <t>Underlying opportunities are sufficiently similar for common eligibility, contracts and reporting.</t>
  </si>
  <si>
    <t>M3</t>
  </si>
  <si>
    <t>Portfolio finance potential</t>
  </si>
  <si>
    <t>Pooled cash flows or assets could support warehouse, portfolio or take-out finance.</t>
  </si>
  <si>
    <t>M4</t>
  </si>
  <si>
    <t>Preparation gap</t>
  </si>
  <si>
    <t>The opportunity is visible but feasibility, legal, financial, ESG or procurement preparation is incomplete.</t>
  </si>
  <si>
    <t>Model 2</t>
  </si>
  <si>
    <t>M5</t>
  </si>
  <si>
    <t>Risk / payment security gap</t>
  </si>
  <si>
    <t>Specific payment, political, counterparty, completion or liquidity risks block participation.</t>
  </si>
  <si>
    <t>M6</t>
  </si>
  <si>
    <t>Large or complex project</t>
  </si>
  <si>
    <t>Execution depends on approvals, procurement, contingent liabilities or major infrastructure structuring.</t>
  </si>
  <si>
    <t>M7</t>
  </si>
  <si>
    <t>Existing providers</t>
  </si>
  <si>
    <t>Service providers already exist but operate in fragmented or weakly coordinated systems.</t>
  </si>
  <si>
    <t>Model 3</t>
  </si>
  <si>
    <t>M8</t>
  </si>
  <si>
    <t>Standards and verification gap</t>
  </si>
  <si>
    <t>Provider accreditation, common standards, claims, invoices or verification are weak.</t>
  </si>
  <si>
    <t>M9</t>
  </si>
  <si>
    <t>Working-capital need</t>
  </si>
  <si>
    <t>Providers face gaps between service delivery and payment that constrain continuity or scale.</t>
  </si>
  <si>
    <t>M10</t>
  </si>
  <si>
    <t>Predictable purchasing potential</t>
  </si>
  <si>
    <t>A purchaser, insurer, buyer or sponsor could aggregate demand and pay against verified delivery.</t>
  </si>
  <si>
    <t>Model recommendation</t>
  </si>
  <si>
    <t>Model 1: Aggregation and Warehouse Platforms</t>
  </si>
  <si>
    <t>Average fit / 5 (M1-M3)</t>
  </si>
  <si>
    <t>Model 2: Integrated Project Preparation + Guarantee Platforms</t>
  </si>
  <si>
    <t>Average fit / 5 (M4-M6)</t>
  </si>
  <si>
    <t>Model 3: Predictable Delivery Networks</t>
  </si>
  <si>
    <t>Average fit / 5 (M7-M10)</t>
  </si>
  <si>
    <t>Recommended primary model</t>
  </si>
  <si>
    <t>Sequencing / hybrid note</t>
  </si>
  <si>
    <t>Tool 6 | Institutional Role Selection Matrix</t>
  </si>
  <si>
    <t>This tab tests which roles ONE institution can credibly play, not which roles it would like to play. Score the institution named in row 4 against each role on six criteria (key in row 5), then record a decision for each role in column K. To assess another institution, copy this tab (right-click the tab &gt; Move or Copy &gt; Create a copy) and change row 4. The Actor Map scores all actors more broadly; this tab goes deeper on one.</t>
  </si>
  <si>
    <t>Institution being assessed</t>
  </si>
  <si>
    <t>Defaults to the lead institution in the Opportunity Profile. Overwrite it to assess another institution.</t>
  </si>
  <si>
    <t>WHAT EACH CRITERION ASKS   Mandate fit: is this role within its charter or strategy?   |   Authority: can it make the decisions this role requires?   |   Capability: does it have the skills, systems and track record?   |   Capital / resources: can it fund or staff the role?   |   Legitimacy: will partners and communities accept it in this role?   |   Risk appetite: will it accept the losses, liabilities or reputational exposure the role brings?
SCALE   1 = Poor fit   |   2 = Weak   |   3 = Possible with support   |   4 = Good fit   |   5 = Strong, proven fit.   Overall fit of 4 or more = candidate role; 2 or below = assign to another actor.</t>
  </si>
  <si>
    <t>Role</t>
  </si>
  <si>
    <t>Role description</t>
  </si>
  <si>
    <t>Mandate fit</t>
  </si>
  <si>
    <t>Capability</t>
  </si>
  <si>
    <t>Capital / resources</t>
  </si>
  <si>
    <t>Risk appetite</t>
  </si>
  <si>
    <t>Evidence / decision</t>
  </si>
  <si>
    <t>Role decision</t>
  </si>
  <si>
    <t>Funder</t>
  </si>
  <si>
    <t>Provides grants, preparation, concessional, catalytic or early-stage support.</t>
  </si>
  <si>
    <t>Convener</t>
  </si>
  <si>
    <t>Aligns actors around a shared pathway and decision process.</t>
  </si>
  <si>
    <t>Ecosystem orchestrator</t>
  </si>
  <si>
    <t>Maintains momentum from alignment to execution and reduces transaction friction.</t>
  </si>
  <si>
    <t>De-risker</t>
  </si>
  <si>
    <t>Covers specific risks through guarantees, first-loss, reserves or other instruments.</t>
  </si>
  <si>
    <t>Aggregator</t>
  </si>
  <si>
    <t>Pools actors, assets, contracts, receivables or cash flows.</t>
  </si>
  <si>
    <t>Anchors demand through procurement, reimbursement, service contracts or offtake.</t>
  </si>
  <si>
    <t>Operator</t>
  </si>
  <si>
    <t>Manages delivery, infrastructure, services or implementation systems.</t>
  </si>
  <si>
    <t>Ecosystem builder</t>
  </si>
  <si>
    <t>Strengthens standards, capacity, data, regulation or enabling infrastructure.</t>
  </si>
  <si>
    <t>Market intelligence provider</t>
  </si>
  <si>
    <t>Generates evidence on demand, users, costs, behavior and adoption.</t>
  </si>
  <si>
    <t>Accountability partner</t>
  </si>
  <si>
    <t>Tracks inclusion, quality, grievances, trust and social performance.</t>
  </si>
  <si>
    <t>Strategy integrator</t>
  </si>
  <si>
    <t>Connects institutional ambition, resources and roles to execution.</t>
  </si>
  <si>
    <t>Champion</t>
  </si>
  <si>
    <t>Maintains senior sponsorship and resolves bottlenecks.</t>
  </si>
  <si>
    <t>Domestic capital mobilizer</t>
  </si>
  <si>
    <t>Engages and prepares local banks, funds, insurers and investors.</t>
  </si>
  <si>
    <t>Local ownership steward</t>
  </si>
  <si>
    <t>Protects local leadership, capability, value capture and long-term ownership.</t>
  </si>
  <si>
    <t>Role recommendation</t>
  </si>
  <si>
    <t>Best-fit role</t>
  </si>
  <si>
    <t>Role boundary / transition</t>
  </si>
  <si>
    <t>Top three candidate roles</t>
  </si>
  <si>
    <t>Roles to assign to another actor</t>
  </si>
  <si>
    <t>Worked example (illustration only, not counted). Institution assessed: a regional development finance institution</t>
  </si>
  <si>
    <t>Existing guarantee facility; board appetite for health exposure confirmed in interview.</t>
  </si>
  <si>
    <t>Lead institution takes role</t>
  </si>
  <si>
    <t>No delivery mandate; would conflict with its investor role.</t>
  </si>
  <si>
    <t>Assign to another actor</t>
  </si>
  <si>
    <t>Tool 7 | Impact Capital Continuum and Sequencing</t>
  </si>
  <si>
    <t>For each capital type, score Need and Readiness (key in row 5), then record the entry conditions, likely provider and stage. Capital follows readiness: a type with high Need but low Readiness belongs later in the sequence, once its conditions are met. Not every opportunity needs every type. A worked example sits below the output.</t>
  </si>
  <si>
    <t>NEED: does this opportunity need this capital now?   1 = Not needed at this stage   |   2 = Marginal   |   3 = Useful, but does not address the binding constraint   |   4 = Important for a main constraint   |   5 = Directly addresses the validated binding constraint now.
READINESS: are the conditions to deploy it met?   1 = Entry conditions not met (see "Should not substitute for")   |   2 = Few conditions met   |   3 = Some conditions met; provider interest unconfirmed   |   4 = Most conditions met; provider engaged   |   5 = Conditions met and a provider is ready to commit.</t>
  </si>
  <si>
    <t>Capital type</t>
  </si>
  <si>
    <t>Appropriate use</t>
  </si>
  <si>
    <t>Should not substitute for</t>
  </si>
  <si>
    <t>Need (1-5)</t>
  </si>
  <si>
    <t>Readiness (1-5)</t>
  </si>
  <si>
    <t>Entry conditions / evidence</t>
  </si>
  <si>
    <t>Proposed provider / instrument</t>
  </si>
  <si>
    <t>Stage in sequence</t>
  </si>
  <si>
    <t>Grant capital</t>
  </si>
  <si>
    <t>Public-good functions, inclusion, trust, early pilots and demand validation.</t>
  </si>
  <si>
    <t>A sustainable operating or ownership model where one is required.</t>
  </si>
  <si>
    <t>Market-building grants</t>
  </si>
  <si>
    <t>Standards, coordination, provider readiness, market intelligence and pipeline development.</t>
  </si>
  <si>
    <t>Sustainable purchasing, financing or ownership arrangements.</t>
  </si>
  <si>
    <t>Technical assistance</t>
  </si>
  <si>
    <t>Feasibility, legal structuring, financial modelling, ESG, procurement and operational improvement.</t>
  </si>
  <si>
    <t>Absent demand, weak commitment or unresolved political barriers.</t>
  </si>
  <si>
    <t>Catalytic capital</t>
  </si>
  <si>
    <t>Absorb early uncertainty and crowd in additional participation.</t>
  </si>
  <si>
    <t>Weak economics, unclear revenue or poor preparation.</t>
  </si>
  <si>
    <t>First-loss capital</t>
  </si>
  <si>
    <t>Protect senior capital in portfolios and aggregation facilities.</t>
  </si>
  <si>
    <t>Fundamentally weak assets, contracts or cash flows.</t>
  </si>
  <si>
    <t>Guarantees</t>
  </si>
  <si>
    <t>Cover defined payment, political, completion, counterparty, liquidity or regulatory risks.</t>
  </si>
  <si>
    <t>Poor design, absent demand or incomplete preparation.</t>
  </si>
  <si>
    <t>Concessional finance</t>
  </si>
  <si>
    <t>Support a credible repayment pathway facing affordability, risk or market-readiness constraints.</t>
  </si>
  <si>
    <t>Permanent replacement for sustainable financing.</t>
  </si>
  <si>
    <t>Blended finance</t>
  </si>
  <si>
    <t>Combine public, philanthropic, concessional and commercial resources for a defined market failure.</t>
  </si>
  <si>
    <t>An opportunity with no credible sustainability pathway.</t>
  </si>
  <si>
    <t>Domestic capital</t>
  </si>
  <si>
    <t>Mobilize banks, pension funds, insurers, public funds, corporates or local investors.</t>
  </si>
  <si>
    <t>Poorly understood risks without preparation or safeguards.</t>
  </si>
  <si>
    <t>Commercial capital</t>
  </si>
  <si>
    <t>Finance credible revenue, repayment, enforceable contracts, manageable risk and sufficient scale.</t>
  </si>
  <si>
    <t>Unresolved structural risk or uncertain payment.</t>
  </si>
  <si>
    <t>Capital recycling</t>
  </si>
  <si>
    <t>Repay, refinance or redeploy capital through revolving or take-out pathways.</t>
  </si>
  <si>
    <t>Unproven repayment or assumed refinancing.</t>
  </si>
  <si>
    <t>Capital pathway output</t>
  </si>
  <si>
    <t>Highest-need capital type</t>
  </si>
  <si>
    <t>Most ready capital type</t>
  </si>
  <si>
    <t>Proposed capital stack summary</t>
  </si>
  <si>
    <t>Worked example (illustration only, not counted). Opportunity: a network of 120 private clinics paid by the provincial health department per verified visit</t>
  </si>
  <si>
    <t>Pilot data on visit volumes and user satisfaction in two districts.</t>
  </si>
  <si>
    <t>Foundation grant</t>
  </si>
  <si>
    <t>1 Foundations</t>
  </si>
  <si>
    <t>Department agrees a common claims and verification standard.</t>
  </si>
  <si>
    <t>Foundation / donor market-systems grant</t>
  </si>
  <si>
    <t>Department nominates a contracting lead; scope of the purchasing contract agreed.</t>
  </si>
  <si>
    <t>DFI project-preparation facility</t>
  </si>
  <si>
    <t>2 Preparation</t>
  </si>
  <si>
    <t>Only after a signed purchasing contract and 12 months of on-time claims data.</t>
  </si>
  <si>
    <t>DFI partial guarantee on department payments</t>
  </si>
  <si>
    <t>3 Early deployment</t>
  </si>
  <si>
    <t>24 months of verified, on-time payment; receivables book above an agreed size.</t>
  </si>
  <si>
    <t>Local bank receivables facility</t>
  </si>
  <si>
    <t>4 Scale</t>
  </si>
  <si>
    <t>Reading the example: grants and technical assistance come first because they address the binding constraint (payment credibility) now. The guarantee is planned but held until its entry condition is met. Commercial capital is the end state, not today's ask. Proposed capital stack summary for this case: "Grant + TA now; DFI guarantee after contract signature; bank receivables finance at scale."</t>
  </si>
  <si>
    <t>Tool 8 | Risk Allocation Worksheet</t>
  </si>
  <si>
    <t>List each material risk, score Likelihood and Impact (key in row 5) and allocate it to the actor best placed to manage it before choosing an instrument. Inherent score = Likelihood x Impact (maximum 25). Residual risk is a single 1 to 5 rating after mitigation. Do not use guarantees to hide weak design. A worked example sits below the summary.</t>
  </si>
  <si>
    <t>LIKELIHOOD (next 24 months)   1 = Rare (under 10%)   |   2 = Unlikely (10-30%)   |   3 = Possible (30-50%)   |   4 = Likely (50-80%)   |   5 = Almost certain (over 80%).
IMPACT   1 = Negligible   |   2 = Minor delay or cost   |   3 = Material delay or cost; a component must be redesigned   |   4 = Major: threatens financing, delivery or a key partner   |   5 = Stops the opportunity or causes serious harm to users.
RESIDUAL (after mitigation)   1 = Low; accept and monitor   |   2 = Minor   |   3 = Material; needs active management   |   4 = High; escalate   |   5 = Could still stop the opportunity.</t>
  </si>
  <si>
    <t>Risk category</t>
  </si>
  <si>
    <t>Risk description / event</t>
  </si>
  <si>
    <t>Likelihood (1–5)</t>
  </si>
  <si>
    <t>Impact (1–5)</t>
  </si>
  <si>
    <t>Current owner</t>
  </si>
  <si>
    <t>Best-placed owner</t>
  </si>
  <si>
    <t>Treatment</t>
  </si>
  <si>
    <t>Mitigation / instrument</t>
  </si>
  <si>
    <t>Residual risk (1–5)</t>
  </si>
  <si>
    <t>Trigger / monitoring indicator</t>
  </si>
  <si>
    <t>Inherent score (L x I)</t>
  </si>
  <si>
    <t>R5</t>
  </si>
  <si>
    <t>R6</t>
  </si>
  <si>
    <t>R7</t>
  </si>
  <si>
    <t>R8</t>
  </si>
  <si>
    <t>R9</t>
  </si>
  <si>
    <t>R10</t>
  </si>
  <si>
    <t>R11</t>
  </si>
  <si>
    <t>R12</t>
  </si>
  <si>
    <t>R13</t>
  </si>
  <si>
    <t>R14</t>
  </si>
  <si>
    <t>R15</t>
  </si>
  <si>
    <t>R16</t>
  </si>
  <si>
    <t>R17</t>
  </si>
  <si>
    <t>R18</t>
  </si>
  <si>
    <t>R19</t>
  </si>
  <si>
    <t>R20</t>
  </si>
  <si>
    <t>Risk summary</t>
  </si>
  <si>
    <t>Highest inherent risk</t>
  </si>
  <si>
    <t>Average residual risk</t>
  </si>
  <si>
    <t>Payment / counterparty</t>
  </si>
  <si>
    <t>Department pays claims late (over 90 days) during budget transitions.</t>
  </si>
  <si>
    <t>Clinics</t>
  </si>
  <si>
    <t>Department, backed by a liquidity facility</t>
  </si>
  <si>
    <t>Mitigate</t>
  </si>
  <si>
    <t>Liquidity reserve funded by catalytic capital; payment-timing clause in the contract.</t>
  </si>
  <si>
    <t>Average claim age above 60 days for two consecutive months.</t>
  </si>
  <si>
    <t>Deployability Dashboard</t>
  </si>
  <si>
    <t>Executive summary populated from the Excel toolkit. Complete all assessments for a reliable result. The team completes the yellow cells in "Decisions and next steps".</t>
  </si>
  <si>
    <t>Country / geography</t>
  </si>
  <si>
    <t>Headline results</t>
  </si>
  <si>
    <t>Deployability score</t>
  </si>
  <si>
    <t>Deployability rating</t>
  </si>
  <si>
    <t>Lowest readiness dimension</t>
  </si>
  <si>
    <t>Recommended model</t>
  </si>
  <si>
    <t>Best-fit institutional role</t>
  </si>
  <si>
    <t>Highest-priority capital type</t>
  </si>
  <si>
    <t>Deployability results</t>
  </si>
  <si>
    <t>Decisions and next steps</t>
  </si>
  <si>
    <t>Decision recommendation</t>
  </si>
  <si>
    <t>Top 3 actions</t>
  </si>
  <si>
    <t>1.
2.
3.</t>
  </si>
  <si>
    <t>Owner and timing</t>
  </si>
  <si>
    <t>Key assumptions requiring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</si>
</sst>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0"/>
      <name val="Arial"/>
      <family val="2"/>
    </font>
    <font>
      <sz val="12"/>
      <color theme="1"/>
      <name val="Arial"/>
      <family val="2"/>
    </font>
    <font>
      <b/>
      <sz val="12"/>
      <color rgb="FF000000"/>
      <name val="Arial"/>
      <family val="2"/>
    </font>
    <font>
      <sz val="12"/>
      <color rgb="FF000000"/>
      <name val="Arial"/>
      <family val="2"/>
    </font>
    <font>
      <b/>
      <sz val="14"/>
      <color rgb="FFFFFFFF"/>
      <name val="Arial"/>
      <family val="2"/>
    </font>
    <font>
      <b/>
      <sz val="12"/>
      <color rgb="FFFFFFFF"/>
      <name val="Arial"/>
      <family val="2"/>
    </font>
    <font>
      <b/>
      <sz val="12"/>
      <color theme="0"/>
      <name val="Aptos Narrow"/>
      <scheme val="minor"/>
    </font>
    <font>
      <sz val="12"/>
      <name val="Arial"/>
      <family val="2"/>
    </font>
    <font>
      <sz val="12"/>
      <color rgb="FF000000"/>
      <name val="Aptos Narrow"/>
    </font>
    <font>
      <sz val="12"/>
      <name val="Aptos Narrow"/>
      <family val="2"/>
      <scheme val="minor"/>
    </font>
    <font>
      <sz val="11"/>
      <color rgb="FF000000"/>
      <name val="Arial"/>
      <family val="2"/>
    </font>
    <font>
      <sz val="12"/>
      <color rgb="FF404040"/>
      <name val="Arial"/>
      <family val="2"/>
    </font>
    <font>
      <sz val="12"/>
      <color rgb="FF000000"/>
      <name val="Times New Roman"/>
      <family val="1"/>
    </font>
    <font>
      <sz val="12"/>
      <color theme="0"/>
      <name val="Arial"/>
      <family val="2"/>
    </font>
    <font>
      <i/>
      <sz val="12"/>
      <color rgb="FF000000"/>
      <name val="Arial"/>
      <family val="2"/>
    </font>
    <font>
      <sz val="11"/>
      <color rgb="FF000000"/>
      <name val="Calibri"/>
      <family val="2"/>
    </font>
    <font>
      <b/>
      <sz val="12"/>
      <color rgb="FF1F4E78"/>
      <name val="Arial"/>
      <family val="2"/>
    </font>
    <font>
      <sz val="11"/>
      <color rgb="FF000000"/>
      <name val="Cambria"/>
      <family val="1"/>
    </font>
    <font>
      <sz val="12"/>
      <color rgb="FF000000"/>
      <name val="Aptos Narrow"/>
      <family val="2"/>
    </font>
    <font>
      <i/>
      <sz val="12"/>
      <color rgb="FF404040"/>
      <name val="Arial"/>
      <family val="2"/>
    </font>
    <font>
      <sz val="12"/>
      <color rgb="FF17365D"/>
      <name val="Arial"/>
      <family val="2"/>
    </font>
    <font>
      <b/>
      <sz val="12"/>
      <color rgb="FF17365D"/>
      <name val="Arial"/>
      <family val="2"/>
    </font>
    <font>
      <sz val="11"/>
      <color rgb="FF000000"/>
      <name val="Calibri"/>
      <family val="2"/>
      <charset val="1"/>
    </font>
    <font>
      <sz val="12"/>
      <color theme="1"/>
      <name val="Times New Roman"/>
      <family val="1"/>
    </font>
  </fonts>
  <fills count="26">
    <fill>
      <patternFill patternType="none"/>
    </fill>
    <fill>
      <patternFill patternType="gray125"/>
    </fill>
    <fill>
      <patternFill patternType="solid">
        <fgColor rgb="FF1F4E78"/>
        <bgColor rgb="FF1F4E78"/>
      </patternFill>
    </fill>
    <fill>
      <patternFill patternType="solid">
        <fgColor theme="0" tint="-0.249977111117893"/>
        <bgColor indexed="64"/>
      </patternFill>
    </fill>
    <fill>
      <patternFill patternType="solid">
        <fgColor rgb="FFFFF2CC"/>
        <bgColor rgb="FFFFF2CC"/>
      </patternFill>
    </fill>
    <fill>
      <patternFill patternType="solid">
        <fgColor rgb="FFDDEBF7"/>
        <bgColor rgb="FFDDEBF7"/>
      </patternFill>
    </fill>
    <fill>
      <patternFill patternType="solid">
        <fgColor rgb="FFF2F2F2"/>
        <bgColor rgb="FFF2F2F2"/>
      </patternFill>
    </fill>
    <fill>
      <patternFill patternType="solid">
        <fgColor theme="9"/>
        <bgColor indexed="64"/>
      </patternFill>
    </fill>
    <fill>
      <patternFill patternType="solid">
        <fgColor theme="3" tint="0.249977111117893"/>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theme="5"/>
        <bgColor indexed="64"/>
      </patternFill>
    </fill>
    <fill>
      <patternFill patternType="solid">
        <fgColor rgb="FFEDEDED"/>
        <bgColor rgb="FFEDEDED"/>
      </patternFill>
    </fill>
    <fill>
      <patternFill patternType="solid">
        <fgColor theme="9" tint="-0.249977111117893"/>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rgb="FF1F4E78"/>
        <bgColor rgb="FF2E5F99"/>
      </patternFill>
    </fill>
    <fill>
      <patternFill patternType="solid">
        <fgColor rgb="FFBFBFBF"/>
        <bgColor rgb="FF000000"/>
      </patternFill>
    </fill>
    <fill>
      <patternFill patternType="solid">
        <fgColor theme="3" tint="0.249977111117893"/>
        <bgColor rgb="FF00B0F0"/>
      </patternFill>
    </fill>
    <fill>
      <patternFill patternType="solid">
        <fgColor theme="5" tint="0.59999389629810485"/>
        <bgColor indexed="64"/>
      </patternFill>
    </fill>
    <fill>
      <patternFill patternType="solid">
        <fgColor theme="3" tint="0.249977111117893"/>
        <bgColor rgb="FF2E5F99"/>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style="thin">
        <color theme="0" tint="-0.499984740745262"/>
      </right>
      <top style="thin">
        <color theme="0" tint="-0.499984740745262"/>
      </top>
      <bottom style="thin">
        <color theme="0" tint="-0.499984740745262"/>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9" fontId="1" fillId="0" borderId="0"/>
  </cellStyleXfs>
  <cellXfs count="119">
    <xf numFmtId="0" fontId="0" fillId="0" borderId="0" xfId="0"/>
    <xf numFmtId="0" fontId="3" fillId="2" borderId="0" xfId="0" applyFont="1" applyFill="1" applyAlignment="1">
      <alignment horizontal="left" vertical="center"/>
    </xf>
    <xf numFmtId="0" fontId="0" fillId="0" borderId="0" xfId="0"/>
    <xf numFmtId="0" fontId="4" fillId="3" borderId="0" xfId="0" applyFont="1" applyFill="1" applyAlignment="1">
      <alignment horizontal="left" vertical="center"/>
    </xf>
    <xf numFmtId="0" fontId="5" fillId="0" borderId="0" xfId="0" applyFont="1" applyAlignment="1">
      <alignment vertical="center" wrapText="1"/>
    </xf>
    <xf numFmtId="0" fontId="6" fillId="4" borderId="1" xfId="0" applyFont="1" applyFill="1" applyBorder="1" applyAlignment="1">
      <alignment vertical="center" wrapText="1"/>
    </xf>
    <xf numFmtId="0" fontId="6" fillId="5" borderId="1" xfId="0" applyFont="1" applyFill="1" applyBorder="1" applyAlignment="1">
      <alignment vertical="center" wrapText="1"/>
    </xf>
    <xf numFmtId="0" fontId="6" fillId="6" borderId="1" xfId="0" applyFont="1" applyFill="1" applyBorder="1" applyAlignment="1">
      <alignment vertical="center" wrapText="1"/>
    </xf>
    <xf numFmtId="0" fontId="4" fillId="0" borderId="0" xfId="0" applyFont="1" applyAlignment="1">
      <alignment horizontal="left" vertical="center"/>
    </xf>
    <xf numFmtId="0" fontId="3" fillId="2" borderId="0" xfId="0" applyFont="1" applyFill="1" applyAlignment="1">
      <alignment horizontal="left" vertical="center"/>
    </xf>
    <xf numFmtId="0" fontId="3" fillId="7" borderId="0" xfId="0" applyFont="1" applyFill="1" applyAlignment="1">
      <alignment horizontal="left" vertical="center" wrapText="1"/>
    </xf>
    <xf numFmtId="0" fontId="4" fillId="0" borderId="0" xfId="0" applyFont="1" applyAlignment="1">
      <alignment horizontal="left" vertical="center" wrapText="1"/>
    </xf>
    <xf numFmtId="0" fontId="3" fillId="8" borderId="0" xfId="0" applyFont="1" applyFill="1" applyAlignment="1">
      <alignment horizontal="left" vertical="center"/>
    </xf>
    <xf numFmtId="0" fontId="3" fillId="7" borderId="0" xfId="0" applyFont="1" applyFill="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wrapText="1"/>
    </xf>
    <xf numFmtId="0" fontId="3" fillId="2" borderId="0" xfId="0" applyFont="1" applyFill="1" applyAlignment="1">
      <alignment horizontal="left" vertical="top"/>
    </xf>
    <xf numFmtId="0" fontId="0" fillId="0" borderId="0" xfId="0" applyAlignment="1">
      <alignment horizontal="left" vertical="center" wrapText="1"/>
    </xf>
    <xf numFmtId="0" fontId="0" fillId="0" borderId="0" xfId="0" applyAlignment="1">
      <alignment horizontal="left" vertical="top" wrapText="1"/>
    </xf>
    <xf numFmtId="0" fontId="3" fillId="9" borderId="0" xfId="0" applyFont="1" applyFill="1" applyAlignment="1">
      <alignment horizontal="left" vertical="top" wrapText="1"/>
    </xf>
    <xf numFmtId="0" fontId="4" fillId="0" borderId="0" xfId="0" applyFont="1" applyAlignment="1">
      <alignment vertical="center"/>
    </xf>
    <xf numFmtId="0" fontId="5" fillId="6" borderId="0" xfId="0" applyFont="1" applyFill="1" applyAlignment="1">
      <alignment vertical="top" wrapText="1"/>
    </xf>
    <xf numFmtId="0" fontId="0" fillId="6" borderId="0" xfId="0" applyFill="1"/>
    <xf numFmtId="0" fontId="6" fillId="6" borderId="0" xfId="0" applyFont="1" applyFill="1" applyAlignment="1">
      <alignment vertical="top" wrapText="1"/>
    </xf>
    <xf numFmtId="0" fontId="7" fillId="2" borderId="0" xfId="0" applyFont="1" applyFill="1" applyAlignment="1">
      <alignment vertical="center" wrapText="1"/>
    </xf>
    <xf numFmtId="0" fontId="0" fillId="2" borderId="0" xfId="0" applyFill="1"/>
    <xf numFmtId="0" fontId="6" fillId="0" borderId="0" xfId="0" applyFont="1" applyAlignment="1">
      <alignment vertical="top" wrapText="1"/>
    </xf>
    <xf numFmtId="0" fontId="8" fillId="2" borderId="0" xfId="0" applyFont="1" applyFill="1" applyAlignment="1">
      <alignment vertical="center" wrapText="1"/>
    </xf>
    <xf numFmtId="0" fontId="8" fillId="2" borderId="0" xfId="0" applyFont="1" applyFill="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3" fillId="2" borderId="0" xfId="0" applyFont="1" applyFill="1" applyAlignment="1">
      <alignment horizontal="left"/>
    </xf>
    <xf numFmtId="0" fontId="4" fillId="0" borderId="0" xfId="0" applyFont="1" applyAlignment="1">
      <alignment vertical="center" wrapText="1"/>
    </xf>
    <xf numFmtId="0" fontId="0" fillId="0" borderId="0" xfId="0" applyAlignment="1">
      <alignment horizontal="center"/>
    </xf>
    <xf numFmtId="0" fontId="9" fillId="2" borderId="0" xfId="0" applyFont="1" applyFill="1" applyAlignment="1">
      <alignment horizontal="left"/>
    </xf>
    <xf numFmtId="0" fontId="10" fillId="0" borderId="0" xfId="0" applyFont="1" applyAlignment="1">
      <alignment vertical="center"/>
    </xf>
    <xf numFmtId="0" fontId="6" fillId="4" borderId="1" xfId="0" applyFont="1" applyFill="1" applyBorder="1" applyAlignment="1">
      <alignment vertical="center"/>
    </xf>
    <xf numFmtId="14" fontId="6" fillId="4" borderId="1" xfId="0" applyNumberFormat="1" applyFont="1" applyFill="1" applyBorder="1" applyAlignment="1">
      <alignment vertical="center"/>
    </xf>
    <xf numFmtId="0" fontId="6" fillId="4" borderId="1" xfId="0" applyFont="1" applyFill="1" applyBorder="1" applyAlignment="1">
      <alignment horizontal="left" vertical="center"/>
    </xf>
    <xf numFmtId="0" fontId="11" fillId="4" borderId="0" xfId="0" applyFont="1" applyFill="1"/>
    <xf numFmtId="0" fontId="11" fillId="4" borderId="2" xfId="0" applyFont="1" applyFill="1" applyBorder="1"/>
    <xf numFmtId="0" fontId="12" fillId="0" borderId="0" xfId="0" applyFont="1" applyAlignment="1">
      <alignment vertical="center"/>
    </xf>
    <xf numFmtId="0" fontId="4" fillId="0" borderId="0" xfId="0" applyFont="1"/>
    <xf numFmtId="0" fontId="6" fillId="4" borderId="1" xfId="0" applyFont="1" applyFill="1" applyBorder="1" applyAlignment="1">
      <alignment horizontal="center"/>
    </xf>
    <xf numFmtId="0" fontId="13" fillId="6" borderId="0" xfId="0" applyFont="1" applyFill="1" applyAlignment="1">
      <alignment vertical="top" wrapText="1"/>
    </xf>
    <xf numFmtId="0" fontId="5" fillId="5" borderId="0" xfId="0" applyFont="1" applyFill="1" applyAlignment="1">
      <alignment vertical="center"/>
    </xf>
    <xf numFmtId="0" fontId="3" fillId="2" borderId="0" xfId="0" applyFont="1" applyFill="1"/>
    <xf numFmtId="14" fontId="6" fillId="5" borderId="0" xfId="0" applyNumberFormat="1" applyFont="1" applyFill="1" applyAlignment="1">
      <alignment horizontal="left" vertical="center"/>
    </xf>
    <xf numFmtId="0" fontId="3" fillId="2" borderId="0" xfId="0" applyFont="1" applyFill="1" applyAlignment="1">
      <alignment vertical="center"/>
    </xf>
    <xf numFmtId="0" fontId="6" fillId="10" borderId="0" xfId="0" applyFont="1" applyFill="1" applyAlignment="1">
      <alignment vertical="top" wrapText="1"/>
    </xf>
    <xf numFmtId="0" fontId="14" fillId="0" borderId="0" xfId="0" applyFont="1" applyAlignment="1">
      <alignment vertical="top" wrapText="1"/>
    </xf>
    <xf numFmtId="0" fontId="6" fillId="0" borderId="0" xfId="0" applyFont="1" applyAlignment="1">
      <alignment vertical="top" wrapText="1"/>
    </xf>
    <xf numFmtId="0" fontId="6" fillId="4" borderId="1" xfId="0" applyFont="1" applyFill="1" applyBorder="1"/>
    <xf numFmtId="0" fontId="15" fillId="4" borderId="1" xfId="0" applyFont="1" applyFill="1" applyBorder="1"/>
    <xf numFmtId="0" fontId="4" fillId="11" borderId="0" xfId="0" applyFont="1" applyFill="1" applyAlignment="1">
      <alignment vertical="top" wrapText="1"/>
    </xf>
    <xf numFmtId="0" fontId="4" fillId="3" borderId="0" xfId="0" applyFont="1" applyFill="1" applyAlignment="1">
      <alignment vertical="top" wrapText="1"/>
    </xf>
    <xf numFmtId="0" fontId="6" fillId="12" borderId="0" xfId="0" applyFont="1" applyFill="1" applyAlignment="1">
      <alignment vertical="top" wrapText="1"/>
    </xf>
    <xf numFmtId="0" fontId="4" fillId="13" borderId="0" xfId="0" applyFont="1" applyFill="1" applyAlignment="1">
      <alignment vertical="top" wrapText="1"/>
    </xf>
    <xf numFmtId="0" fontId="16" fillId="14" borderId="0" xfId="0" applyFont="1" applyFill="1" applyAlignment="1">
      <alignment vertical="top" wrapText="1"/>
    </xf>
    <xf numFmtId="0" fontId="6" fillId="15" borderId="0" xfId="0" applyFont="1" applyFill="1" applyAlignment="1">
      <alignment vertical="top" wrapText="1"/>
    </xf>
    <xf numFmtId="0" fontId="3" fillId="2" borderId="0" xfId="0" applyFont="1" applyFill="1" applyAlignment="1">
      <alignment horizontal="left" vertical="center" wrapText="1"/>
    </xf>
    <xf numFmtId="0" fontId="3" fillId="8" borderId="0" xfId="0" applyFont="1" applyFill="1" applyAlignment="1">
      <alignment vertical="center" wrapText="1"/>
    </xf>
    <xf numFmtId="0" fontId="2" fillId="8" borderId="0" xfId="0" applyFont="1" applyFill="1" applyAlignment="1">
      <alignment vertical="center"/>
    </xf>
    <xf numFmtId="0" fontId="6" fillId="0" borderId="0" xfId="0" applyFont="1"/>
    <xf numFmtId="0" fontId="6" fillId="5" borderId="0" xfId="0" applyFont="1" applyFill="1"/>
    <xf numFmtId="0" fontId="4" fillId="0" borderId="0" xfId="0" applyFont="1"/>
    <xf numFmtId="0" fontId="5" fillId="6" borderId="0" xfId="0" applyFont="1" applyFill="1" applyAlignment="1">
      <alignment vertical="top" wrapText="1"/>
    </xf>
    <xf numFmtId="0" fontId="17" fillId="16" borderId="0" xfId="0" applyFont="1" applyFill="1" applyAlignment="1">
      <alignment vertical="top" wrapText="1"/>
    </xf>
    <xf numFmtId="0" fontId="17" fillId="16" borderId="0" xfId="0" applyFont="1" applyFill="1" applyAlignment="1">
      <alignment vertical="top" wrapText="1"/>
    </xf>
    <xf numFmtId="0" fontId="0" fillId="16" borderId="0" xfId="0" applyFill="1"/>
    <xf numFmtId="0" fontId="4" fillId="3" borderId="0" xfId="0" applyFont="1" applyFill="1" applyAlignment="1">
      <alignment vertical="center" wrapText="1"/>
    </xf>
    <xf numFmtId="0" fontId="4" fillId="0" borderId="0" xfId="0" applyFont="1" applyAlignment="1">
      <alignment vertical="top" wrapText="1"/>
    </xf>
    <xf numFmtId="0" fontId="3" fillId="2" borderId="0" xfId="0" applyFont="1" applyFill="1" applyAlignment="1">
      <alignment vertical="center" wrapText="1"/>
    </xf>
    <xf numFmtId="0" fontId="11" fillId="5" borderId="0" xfId="0" applyFont="1" applyFill="1"/>
    <xf numFmtId="0" fontId="5" fillId="0" borderId="0" xfId="0" applyFont="1" applyAlignment="1">
      <alignment vertical="top" wrapText="1"/>
    </xf>
    <xf numFmtId="0" fontId="11" fillId="4" borderId="1" xfId="0" applyFont="1" applyFill="1" applyBorder="1"/>
    <xf numFmtId="0" fontId="0" fillId="0" borderId="3" xfId="0" applyBorder="1"/>
    <xf numFmtId="0" fontId="0" fillId="0" borderId="4" xfId="0" applyBorder="1"/>
    <xf numFmtId="0" fontId="8" fillId="2" borderId="0" xfId="0" applyFont="1" applyFill="1" applyAlignment="1">
      <alignment vertical="center" wrapText="1"/>
    </xf>
    <xf numFmtId="0" fontId="15" fillId="4" borderId="1" xfId="0" applyFont="1" applyFill="1" applyBorder="1" applyAlignment="1">
      <alignment vertical="top" wrapText="1"/>
    </xf>
    <xf numFmtId="0" fontId="18" fillId="5" borderId="0" xfId="0" applyFont="1" applyFill="1" applyAlignment="1">
      <alignment vertical="top" wrapText="1"/>
    </xf>
    <xf numFmtId="0" fontId="8" fillId="2" borderId="0" xfId="0" applyFont="1" applyFill="1" applyAlignment="1">
      <alignment vertical="center"/>
    </xf>
    <xf numFmtId="0" fontId="6" fillId="5" borderId="0" xfId="0" applyFont="1" applyFill="1"/>
    <xf numFmtId="0" fontId="11" fillId="5" borderId="0" xfId="0" applyFont="1" applyFill="1"/>
    <xf numFmtId="0" fontId="6" fillId="4" borderId="1" xfId="0" applyFont="1" applyFill="1" applyBorder="1"/>
    <xf numFmtId="0" fontId="3" fillId="0" borderId="0" xfId="0" applyFont="1" applyAlignment="1">
      <alignment vertical="center"/>
    </xf>
    <xf numFmtId="0" fontId="6" fillId="13" borderId="0" xfId="0" applyFont="1" applyFill="1" applyAlignment="1">
      <alignment vertical="top" wrapText="1"/>
    </xf>
    <xf numFmtId="0" fontId="16" fillId="8" borderId="0" xfId="0" applyFont="1" applyFill="1" applyAlignment="1">
      <alignment vertical="top" wrapText="1"/>
    </xf>
    <xf numFmtId="0" fontId="16" fillId="17" borderId="0" xfId="0" applyFont="1" applyFill="1" applyAlignment="1">
      <alignment vertical="top" wrapText="1"/>
    </xf>
    <xf numFmtId="0" fontId="6" fillId="18" borderId="0" xfId="0" applyFont="1" applyFill="1" applyAlignment="1">
      <alignment vertical="top" wrapText="1"/>
    </xf>
    <xf numFmtId="0" fontId="16" fillId="19" borderId="0" xfId="0" applyFont="1" applyFill="1" applyAlignment="1">
      <alignment vertical="top" wrapText="1"/>
    </xf>
    <xf numFmtId="0" fontId="6" fillId="20" borderId="0" xfId="0" applyFont="1" applyFill="1" applyAlignment="1">
      <alignment vertical="top" wrapText="1"/>
    </xf>
    <xf numFmtId="0" fontId="8" fillId="21" borderId="0" xfId="0" applyFont="1" applyFill="1" applyAlignment="1">
      <alignment vertical="center" wrapText="1"/>
    </xf>
    <xf numFmtId="0" fontId="6" fillId="5" borderId="0" xfId="0" applyFont="1" applyFill="1" applyAlignment="1">
      <alignment vertical="center"/>
    </xf>
    <xf numFmtId="9" fontId="6" fillId="5" borderId="0" xfId="1" applyFont="1" applyFill="1" applyAlignment="1">
      <alignment vertical="center"/>
    </xf>
    <xf numFmtId="0" fontId="19" fillId="0" borderId="0" xfId="0" applyFont="1" applyAlignment="1">
      <alignment horizontal="center" vertical="top"/>
    </xf>
    <xf numFmtId="0" fontId="20" fillId="4" borderId="1" xfId="0" applyFont="1" applyFill="1" applyBorder="1"/>
    <xf numFmtId="0" fontId="6" fillId="3" borderId="0" xfId="0" applyFont="1" applyFill="1" applyAlignment="1">
      <alignment vertical="center" wrapText="1"/>
    </xf>
    <xf numFmtId="0" fontId="22" fillId="0" borderId="0" xfId="0" applyFont="1" applyAlignment="1">
      <alignment vertical="center" wrapText="1"/>
    </xf>
    <xf numFmtId="0" fontId="6" fillId="0" borderId="0" xfId="0" applyFont="1" applyAlignment="1">
      <alignment vertical="center" wrapText="1"/>
    </xf>
    <xf numFmtId="0" fontId="6" fillId="5" borderId="0" xfId="0" applyFont="1" applyFill="1" applyAlignment="1">
      <alignment vertical="center" wrapText="1"/>
    </xf>
    <xf numFmtId="0" fontId="11" fillId="4" borderId="1" xfId="0" applyFont="1" applyFill="1" applyBorder="1"/>
    <xf numFmtId="0" fontId="23" fillId="0" borderId="0" xfId="0" applyFont="1"/>
    <xf numFmtId="0" fontId="24" fillId="0" borderId="0" xfId="0" applyFont="1" applyAlignment="1">
      <alignment vertical="top" wrapText="1"/>
    </xf>
    <xf numFmtId="0" fontId="8" fillId="2" borderId="0" xfId="0" applyFont="1" applyFill="1" applyAlignment="1">
      <alignment horizontal="left" vertical="center"/>
    </xf>
    <xf numFmtId="0" fontId="25" fillId="0" borderId="0" xfId="0" applyFont="1" applyAlignment="1">
      <alignment vertical="top" wrapText="1"/>
    </xf>
    <xf numFmtId="0" fontId="6" fillId="4" borderId="1" xfId="0" applyFont="1" applyFill="1" applyBorder="1" applyAlignment="1">
      <alignment vertical="top" wrapText="1"/>
    </xf>
    <xf numFmtId="0" fontId="26" fillId="0" borderId="0" xfId="0" applyFont="1"/>
    <xf numFmtId="0" fontId="3" fillId="2" borderId="0" xfId="0" applyFont="1" applyFill="1" applyAlignment="1">
      <alignment vertical="center"/>
    </xf>
    <xf numFmtId="0" fontId="23" fillId="0" borderId="0" xfId="0" applyFont="1" applyAlignment="1">
      <alignment vertical="center"/>
    </xf>
    <xf numFmtId="0" fontId="6" fillId="0" borderId="0" xfId="0" applyFont="1" applyAlignment="1">
      <alignment vertical="center"/>
    </xf>
    <xf numFmtId="0" fontId="6" fillId="22" borderId="0" xfId="0" applyFont="1" applyFill="1" applyAlignment="1">
      <alignment vertical="center" wrapText="1"/>
    </xf>
    <xf numFmtId="0" fontId="11" fillId="5" borderId="0" xfId="0" applyFont="1" applyFill="1" applyAlignment="1">
      <alignment vertical="center"/>
    </xf>
    <xf numFmtId="0" fontId="8" fillId="23" borderId="0" xfId="0" applyFont="1" applyFill="1" applyAlignment="1">
      <alignment horizontal="center" vertical="center"/>
    </xf>
    <xf numFmtId="0" fontId="23" fillId="24" borderId="0" xfId="0" applyFont="1" applyFill="1"/>
    <xf numFmtId="0" fontId="3" fillId="25" borderId="0" xfId="0" applyFont="1" applyFill="1" applyAlignment="1">
      <alignment vertical="center" wrapText="1"/>
    </xf>
    <xf numFmtId="0" fontId="23" fillId="10" borderId="0" xfId="0" applyFont="1" applyFill="1" applyAlignment="1">
      <alignment vertical="center"/>
    </xf>
    <xf numFmtId="0" fontId="6" fillId="4" borderId="1" xfId="0" applyFont="1" applyFill="1" applyBorder="1" applyAlignment="1">
      <alignment horizontal="left" vertical="top" wrapText="1"/>
    </xf>
    <xf numFmtId="0" fontId="6" fillId="4" borderId="1" xfId="0" applyFont="1" applyFill="1" applyBorder="1" applyAlignment="1">
      <alignment horizontal="lef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Deploya</a:t>
            </a:r>
            <a:r>
              <a:rPr lang="en-US" b="1" baseline="0">
                <a:latin typeface="Arial" panose="020B0604020202020204" pitchFamily="34" charset="0"/>
                <a:cs typeface="Arial" panose="020B0604020202020204" pitchFamily="34" charset="0"/>
              </a:rPr>
              <a:t>bility by dimension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radarChart>
        <c:radarStyle val="marker"/>
        <c:varyColors val="0"/>
        <c:ser>
          <c:idx val="0"/>
          <c:order val="0"/>
          <c:tx>
            <c:strRef>
              <c:f>'Deployability Dashboard'!$C$23</c:f>
              <c:strCache>
                <c:ptCount val="1"/>
                <c:pt idx="0">
                  <c:v>Average / 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'Deployability Dashboard'!$B$24:$B$30</c:f>
              <c:strCache>
                <c:ptCount val="7"/>
                <c:pt idx="0">
                  <c:v>Demand and Market Readiness</c:v>
                </c:pt>
                <c:pt idx="1">
                  <c:v>Financial and Capital Readiness</c:v>
                </c:pt>
                <c:pt idx="2">
                  <c:v>Delivery and Operational Readiness</c:v>
                </c:pt>
                <c:pt idx="3">
                  <c:v>Risk and Structuring Readiness</c:v>
                </c:pt>
                <c:pt idx="4">
                  <c:v>Institutional and Coordination Readiness</c:v>
                </c:pt>
                <c:pt idx="5">
                  <c:v>Legitimacy and Community Readiness</c:v>
                </c:pt>
                <c:pt idx="6">
                  <c:v>System Readiness</c:v>
                </c:pt>
              </c:strCache>
            </c:strRef>
          </c:cat>
          <c:val>
            <c:numRef>
              <c:f>'Deployability Dashboard'!$C$24:$C$30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AD8F-6549-8944-2ED6CC631469}"/>
            </c:ext>
          </c:extLst>
        </c:ser>
        <c:dLbls>
          <c:showLegendKey val="0"/>
          <c:showVal val="0"/>
          <c:showCatName val="0"/>
          <c:showSerName val="0"/>
          <c:showPercent val="0"/>
          <c:showBubbleSize val="0"/>
        </c:dLbls>
        <c:axId val="1287066879"/>
        <c:axId val="1287076735"/>
      </c:radarChart>
      <c:catAx>
        <c:axId val="128706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76735"/>
        <c:crosses val="autoZero"/>
        <c:auto val="1"/>
        <c:lblAlgn val="ctr"/>
        <c:lblOffset val="100"/>
        <c:noMultiLvlLbl val="0"/>
      </c:catAx>
      <c:valAx>
        <c:axId val="128707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6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12700</xdr:colOff>
      <xdr:row>22</xdr:row>
      <xdr:rowOff>19050</xdr:rowOff>
    </xdr:from>
    <xdr:to>
      <xdr:col>9</xdr:col>
      <xdr:colOff>812800</xdr:colOff>
      <xdr:row>33</xdr:row>
      <xdr:rowOff>685800</xdr:rowOff>
    </xdr:to>
    <xdr:graphicFrame macro="">
      <xdr:nvGraphicFramePr>
        <xdr:cNvPr id="2" name="Chart 1">
          <a:extLst>
            <a:ext uri="{FF2B5EF4-FFF2-40B4-BE49-F238E27FC236}">
              <a16:creationId xmlns:a16="http://schemas.microsoft.com/office/drawing/2014/main" id="{5A4453F7-C60B-4241-8BA0-B097804D6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260730_PrivateSector_DeployabilityToolkit%20(1).xlsx" TargetMode="External"/><Relationship Id="rId2" Type="http://schemas.openxmlformats.org/officeDocument/2006/relationships/externalLinkPath" Target="/Users/kuzivakwashemutsvangwa/Downloads/260730_PrivateSector_DeployabilityToolkit%20(1).xlsx" TargetMode="External"/><Relationship Id="rId1" Type="http://schemas.openxmlformats.org/officeDocument/2006/relationships/externalLinkPath" Target="/Users/kuzivakwashemutsvangwa/Downloads/260730_PrivateSector_DeployabilityToolki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ists"/>
      <sheetName val="ReadMe"/>
      <sheetName val="Scoring Guide"/>
      <sheetName val="Opportunity Profile"/>
      <sheetName val="Deployability Scorecard"/>
      <sheetName val="Binding Constraints"/>
      <sheetName val="Actor Map"/>
      <sheetName val="System Readiness"/>
      <sheetName val="Partnership Model Selection"/>
      <sheetName val="Role Selection"/>
      <sheetName val="Capital Sequencing"/>
      <sheetName val="Risk Allocation"/>
      <sheetName val="Deployability 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3">
          <cell r="C23" t="str">
            <v>Average / 5</v>
          </cell>
        </row>
        <row r="24">
          <cell r="B24" t="str">
            <v>Demand and Market Readiness</v>
          </cell>
          <cell r="C24">
            <v>0</v>
          </cell>
        </row>
        <row r="25">
          <cell r="B25" t="str">
            <v>Financial and Capital Readiness</v>
          </cell>
          <cell r="C25">
            <v>0</v>
          </cell>
        </row>
        <row r="26">
          <cell r="B26" t="str">
            <v>Delivery and Operational Readiness</v>
          </cell>
          <cell r="C26">
            <v>0</v>
          </cell>
        </row>
        <row r="27">
          <cell r="B27" t="str">
            <v>Risk and Structuring Readiness</v>
          </cell>
          <cell r="C27">
            <v>0</v>
          </cell>
        </row>
        <row r="28">
          <cell r="B28" t="str">
            <v>Institutional and Coordination Readiness</v>
          </cell>
          <cell r="C28">
            <v>0</v>
          </cell>
        </row>
        <row r="29">
          <cell r="B29" t="str">
            <v>Legitimacy and Community Readiness</v>
          </cell>
          <cell r="C29">
            <v>0</v>
          </cell>
        </row>
        <row r="30">
          <cell r="B30" t="str">
            <v>System Readiness</v>
          </cell>
          <cell r="C30">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EA92-8742-BC48-B130-AD2C7F25C100}">
  <dimension ref="A1:J66"/>
  <sheetViews>
    <sheetView tabSelected="1" workbookViewId="0">
      <selection activeCell="C59" sqref="C59"/>
    </sheetView>
  </sheetViews>
  <sheetFormatPr baseColWidth="10" defaultRowHeight="16" x14ac:dyDescent="0.2"/>
  <cols>
    <col min="1" max="1" width="29" customWidth="1"/>
    <col min="2" max="2" width="32.83203125" customWidth="1"/>
    <col min="3" max="3" width="34.83203125" customWidth="1"/>
    <col min="4" max="4" width="34.1640625" customWidth="1"/>
    <col min="5" max="5" width="34.33203125" customWidth="1"/>
  </cols>
  <sheetData>
    <row r="1" spans="1:10" x14ac:dyDescent="0.2">
      <c r="A1" s="1" t="s">
        <v>0</v>
      </c>
      <c r="B1" s="2"/>
      <c r="C1" s="2"/>
      <c r="D1" s="2"/>
      <c r="E1" s="2"/>
    </row>
    <row r="2" spans="1:10" x14ac:dyDescent="0.2">
      <c r="A2" s="2"/>
      <c r="B2" s="2"/>
      <c r="C2" s="2"/>
      <c r="D2" s="2"/>
      <c r="E2" s="2"/>
    </row>
    <row r="3" spans="1:10" x14ac:dyDescent="0.2">
      <c r="A3" s="3" t="s">
        <v>1</v>
      </c>
      <c r="B3" s="2"/>
      <c r="C3" s="2"/>
      <c r="D3" s="2"/>
      <c r="E3" s="2"/>
    </row>
    <row r="4" spans="1:10" x14ac:dyDescent="0.2">
      <c r="A4" s="2"/>
      <c r="B4" s="2"/>
      <c r="C4" s="2"/>
      <c r="D4" s="2"/>
      <c r="E4" s="2"/>
    </row>
    <row r="5" spans="1:10" ht="34" customHeight="1" x14ac:dyDescent="0.2">
      <c r="A5" s="4" t="s">
        <v>2</v>
      </c>
      <c r="B5" s="5" t="s">
        <v>3</v>
      </c>
      <c r="C5" s="6" t="s">
        <v>4</v>
      </c>
      <c r="D5" s="7" t="s">
        <v>5</v>
      </c>
      <c r="G5" s="8"/>
      <c r="H5" s="2"/>
      <c r="I5" s="2"/>
      <c r="J5" s="2"/>
    </row>
    <row r="6" spans="1:10" x14ac:dyDescent="0.2">
      <c r="A6" s="9" t="s">
        <v>6</v>
      </c>
      <c r="B6" s="9"/>
      <c r="C6" s="9"/>
      <c r="D6" s="9"/>
      <c r="E6" s="9"/>
      <c r="G6" s="10" t="s">
        <v>7</v>
      </c>
      <c r="H6" s="2"/>
      <c r="I6" s="2"/>
      <c r="J6" s="2"/>
    </row>
    <row r="7" spans="1:10" ht="16" customHeight="1" x14ac:dyDescent="0.2">
      <c r="A7" s="11" t="s">
        <v>8</v>
      </c>
      <c r="B7" s="2"/>
      <c r="C7" s="2"/>
      <c r="D7" s="2"/>
      <c r="E7" s="2"/>
      <c r="G7" s="11" t="s">
        <v>9</v>
      </c>
      <c r="H7" s="2"/>
      <c r="I7" s="2"/>
      <c r="J7" s="2"/>
    </row>
    <row r="8" spans="1:10" x14ac:dyDescent="0.2">
      <c r="A8" s="2"/>
      <c r="B8" s="2"/>
      <c r="C8" s="2"/>
      <c r="D8" s="2"/>
      <c r="E8" s="2"/>
      <c r="G8" s="2"/>
      <c r="H8" s="2"/>
      <c r="I8" s="2"/>
      <c r="J8" s="2"/>
    </row>
    <row r="9" spans="1:10" x14ac:dyDescent="0.2">
      <c r="A9" s="2"/>
      <c r="B9" s="2"/>
      <c r="C9" s="2"/>
      <c r="D9" s="2"/>
      <c r="E9" s="2"/>
      <c r="G9" s="2"/>
      <c r="H9" s="2"/>
      <c r="I9" s="2"/>
      <c r="J9" s="2"/>
    </row>
    <row r="10" spans="1:10" x14ac:dyDescent="0.2">
      <c r="A10" s="2"/>
      <c r="B10" s="2"/>
      <c r="C10" s="2"/>
      <c r="D10" s="2"/>
      <c r="E10" s="2"/>
      <c r="G10" s="2"/>
      <c r="H10" s="2"/>
      <c r="I10" s="2"/>
      <c r="J10" s="2"/>
    </row>
    <row r="11" spans="1:10" x14ac:dyDescent="0.2">
      <c r="A11" s="2"/>
      <c r="B11" s="2"/>
      <c r="C11" s="2"/>
      <c r="D11" s="2"/>
      <c r="E11" s="2"/>
      <c r="G11" s="2"/>
      <c r="H11" s="2"/>
      <c r="I11" s="2"/>
      <c r="J11" s="2"/>
    </row>
    <row r="12" spans="1:10" x14ac:dyDescent="0.2">
      <c r="A12" s="2"/>
      <c r="B12" s="2"/>
      <c r="C12" s="2"/>
      <c r="D12" s="2"/>
      <c r="E12" s="2"/>
      <c r="G12" s="2"/>
      <c r="H12" s="2"/>
      <c r="I12" s="2"/>
      <c r="J12" s="2"/>
    </row>
    <row r="13" spans="1:10" x14ac:dyDescent="0.2">
      <c r="A13" s="2"/>
      <c r="B13" s="2"/>
      <c r="C13" s="2"/>
      <c r="D13" s="2"/>
      <c r="E13" s="2"/>
      <c r="G13" s="2"/>
      <c r="H13" s="2"/>
      <c r="I13" s="2"/>
      <c r="J13" s="2"/>
    </row>
    <row r="14" spans="1:10" x14ac:dyDescent="0.2">
      <c r="A14" s="2"/>
      <c r="B14" s="2"/>
      <c r="C14" s="2"/>
      <c r="D14" s="2"/>
      <c r="E14" s="2"/>
      <c r="G14" s="2"/>
      <c r="H14" s="2"/>
      <c r="I14" s="2"/>
      <c r="J14" s="2"/>
    </row>
    <row r="15" spans="1:10" ht="230" customHeight="1" x14ac:dyDescent="0.2">
      <c r="A15" s="2"/>
      <c r="B15" s="2"/>
      <c r="C15" s="2"/>
      <c r="D15" s="2"/>
      <c r="E15" s="2"/>
      <c r="G15" s="2"/>
      <c r="H15" s="2"/>
      <c r="I15" s="2"/>
      <c r="J15" s="2"/>
    </row>
    <row r="17" spans="1:10" x14ac:dyDescent="0.2">
      <c r="A17" s="12" t="s">
        <v>10</v>
      </c>
      <c r="B17" s="12"/>
      <c r="C17" s="12"/>
      <c r="D17" s="12"/>
      <c r="E17" s="12"/>
      <c r="G17" s="13" t="s">
        <v>11</v>
      </c>
      <c r="H17" s="2"/>
      <c r="I17" s="2"/>
      <c r="J17" s="2"/>
    </row>
    <row r="18" spans="1:10" ht="16" customHeight="1" x14ac:dyDescent="0.2">
      <c r="A18" s="14"/>
      <c r="B18" s="14"/>
      <c r="C18" s="14"/>
      <c r="D18" s="14"/>
      <c r="E18" s="14"/>
      <c r="G18" s="15" t="s">
        <v>12</v>
      </c>
      <c r="H18" s="2"/>
      <c r="I18" s="2"/>
      <c r="J18" s="2"/>
    </row>
    <row r="19" spans="1:10" ht="16" customHeight="1" x14ac:dyDescent="0.2">
      <c r="A19" s="16" t="s">
        <v>13</v>
      </c>
      <c r="B19" s="2"/>
      <c r="C19" s="2"/>
      <c r="D19" s="2"/>
      <c r="E19" s="2"/>
      <c r="G19" s="2"/>
      <c r="H19" s="2"/>
      <c r="I19" s="2"/>
      <c r="J19" s="2"/>
    </row>
    <row r="20" spans="1:10" x14ac:dyDescent="0.2">
      <c r="A20" s="17" t="s">
        <v>14</v>
      </c>
      <c r="B20" s="2"/>
      <c r="C20" s="2"/>
      <c r="D20" s="2"/>
      <c r="E20" s="2"/>
      <c r="G20" s="2"/>
      <c r="H20" s="2"/>
      <c r="I20" s="2"/>
      <c r="J20" s="2"/>
    </row>
    <row r="21" spans="1:10" x14ac:dyDescent="0.2">
      <c r="A21" s="2"/>
      <c r="B21" s="2"/>
      <c r="C21" s="2"/>
      <c r="D21" s="2"/>
      <c r="E21" s="2"/>
      <c r="G21" s="2"/>
      <c r="H21" s="2"/>
      <c r="I21" s="2"/>
      <c r="J21" s="2"/>
    </row>
    <row r="22" spans="1:10" x14ac:dyDescent="0.2">
      <c r="A22" s="2"/>
      <c r="B22" s="2"/>
      <c r="C22" s="2"/>
      <c r="D22" s="2"/>
      <c r="E22" s="2"/>
      <c r="G22" s="2"/>
      <c r="H22" s="2"/>
      <c r="I22" s="2"/>
      <c r="J22" s="2"/>
    </row>
    <row r="23" spans="1:10" ht="4" customHeight="1" x14ac:dyDescent="0.2">
      <c r="A23" s="2"/>
      <c r="B23" s="2"/>
      <c r="C23" s="2"/>
      <c r="D23" s="2"/>
      <c r="E23" s="2"/>
      <c r="G23" s="2"/>
      <c r="H23" s="2"/>
      <c r="I23" s="2"/>
      <c r="J23" s="2"/>
    </row>
    <row r="24" spans="1:10" ht="16" hidden="1" customHeight="1" x14ac:dyDescent="0.2">
      <c r="A24" s="2"/>
      <c r="B24" s="2"/>
      <c r="C24" s="2"/>
      <c r="D24" s="2"/>
      <c r="E24" s="2"/>
      <c r="G24" s="2"/>
      <c r="H24" s="2"/>
      <c r="I24" s="2"/>
      <c r="J24" s="2"/>
    </row>
    <row r="25" spans="1:10" ht="16" hidden="1" customHeight="1" x14ac:dyDescent="0.2">
      <c r="A25" s="2"/>
      <c r="B25" s="2"/>
      <c r="C25" s="2"/>
      <c r="D25" s="2"/>
      <c r="E25" s="2"/>
      <c r="G25" s="2"/>
      <c r="H25" s="2"/>
      <c r="I25" s="2"/>
      <c r="J25" s="2"/>
    </row>
    <row r="26" spans="1:10" ht="16" hidden="1" customHeight="1" x14ac:dyDescent="0.2">
      <c r="A26" s="2"/>
      <c r="B26" s="2"/>
      <c r="C26" s="2"/>
      <c r="D26" s="2"/>
      <c r="E26" s="2"/>
      <c r="G26" s="2"/>
      <c r="H26" s="2"/>
      <c r="I26" s="2"/>
      <c r="J26" s="2"/>
    </row>
    <row r="27" spans="1:10" ht="16" hidden="1" customHeight="1" x14ac:dyDescent="0.2">
      <c r="A27" s="2"/>
      <c r="B27" s="2"/>
      <c r="C27" s="2"/>
      <c r="D27" s="2"/>
      <c r="E27" s="2"/>
      <c r="G27" s="2"/>
      <c r="H27" s="2"/>
      <c r="I27" s="2"/>
      <c r="J27" s="2"/>
    </row>
    <row r="28" spans="1:10" ht="16" hidden="1" customHeight="1" x14ac:dyDescent="0.2">
      <c r="A28" s="2"/>
      <c r="B28" s="2"/>
      <c r="C28" s="2"/>
      <c r="D28" s="2"/>
      <c r="E28" s="2"/>
      <c r="G28" s="2"/>
      <c r="H28" s="2"/>
      <c r="I28" s="2"/>
      <c r="J28" s="2"/>
    </row>
    <row r="29" spans="1:10" ht="16" hidden="1" customHeight="1" x14ac:dyDescent="0.2">
      <c r="A29" s="2"/>
      <c r="B29" s="2"/>
      <c r="C29" s="2"/>
      <c r="D29" s="2"/>
      <c r="E29" s="2"/>
      <c r="G29" s="2"/>
      <c r="H29" s="2"/>
      <c r="I29" s="2"/>
      <c r="J29" s="2"/>
    </row>
    <row r="30" spans="1:10" x14ac:dyDescent="0.2">
      <c r="A30" s="16" t="s">
        <v>15</v>
      </c>
      <c r="B30" s="2"/>
      <c r="C30" s="2"/>
      <c r="D30" s="2"/>
      <c r="E30" s="2"/>
      <c r="G30" s="2"/>
      <c r="H30" s="2"/>
      <c r="I30" s="2"/>
      <c r="J30" s="2"/>
    </row>
    <row r="31" spans="1:10" ht="55" customHeight="1" x14ac:dyDescent="0.2">
      <c r="A31" s="17" t="s">
        <v>16</v>
      </c>
      <c r="B31" s="2"/>
      <c r="C31" s="2"/>
      <c r="D31" s="2"/>
      <c r="E31" s="2"/>
      <c r="G31" s="2"/>
      <c r="H31" s="2"/>
      <c r="I31" s="2"/>
      <c r="J31" s="2"/>
    </row>
    <row r="32" spans="1:10" x14ac:dyDescent="0.2">
      <c r="A32" s="16" t="s">
        <v>17</v>
      </c>
      <c r="B32" s="2"/>
      <c r="C32" s="2"/>
      <c r="D32" s="2"/>
      <c r="E32" s="2"/>
      <c r="G32" s="2"/>
      <c r="H32" s="2"/>
      <c r="I32" s="2"/>
      <c r="J32" s="2"/>
    </row>
    <row r="33" spans="1:10" ht="80" customHeight="1" x14ac:dyDescent="0.2">
      <c r="A33" s="18" t="s">
        <v>18</v>
      </c>
      <c r="B33" s="2"/>
      <c r="C33" s="2"/>
      <c r="D33" s="2"/>
      <c r="E33" s="2"/>
      <c r="G33" s="2"/>
      <c r="H33" s="2"/>
      <c r="I33" s="2"/>
      <c r="J33" s="2"/>
    </row>
    <row r="34" spans="1:10" x14ac:dyDescent="0.2">
      <c r="A34" s="16" t="s">
        <v>19</v>
      </c>
      <c r="B34" s="2"/>
      <c r="C34" s="2"/>
      <c r="D34" s="2"/>
      <c r="E34" s="2"/>
      <c r="G34" s="2"/>
      <c r="H34" s="2"/>
      <c r="I34" s="2"/>
      <c r="J34" s="2"/>
    </row>
    <row r="35" spans="1:10" ht="47" customHeight="1" x14ac:dyDescent="0.2">
      <c r="A35" s="18" t="s">
        <v>20</v>
      </c>
      <c r="B35" s="2"/>
      <c r="C35" s="2"/>
      <c r="D35" s="2"/>
      <c r="E35" s="2"/>
      <c r="G35" s="2"/>
      <c r="H35" s="2"/>
      <c r="I35" s="2"/>
      <c r="J35" s="2"/>
    </row>
    <row r="36" spans="1:10" x14ac:dyDescent="0.2">
      <c r="A36" s="16" t="s">
        <v>21</v>
      </c>
      <c r="B36" s="2"/>
      <c r="C36" s="2"/>
      <c r="D36" s="2"/>
      <c r="E36" s="2"/>
    </row>
    <row r="37" spans="1:10" ht="49" customHeight="1" x14ac:dyDescent="0.2">
      <c r="A37" s="18" t="s">
        <v>22</v>
      </c>
      <c r="B37" s="2"/>
      <c r="C37" s="2"/>
      <c r="D37" s="2"/>
      <c r="E37" s="2"/>
      <c r="G37" s="19" t="s">
        <v>23</v>
      </c>
      <c r="H37" s="2"/>
      <c r="I37" s="2"/>
      <c r="J37" s="2"/>
    </row>
    <row r="38" spans="1:10" ht="16" customHeight="1" x14ac:dyDescent="0.2">
      <c r="A38" s="16" t="s">
        <v>24</v>
      </c>
      <c r="B38" s="2"/>
      <c r="C38" s="2"/>
      <c r="D38" s="2"/>
      <c r="E38" s="2"/>
      <c r="G38" s="11" t="s">
        <v>25</v>
      </c>
      <c r="H38" s="2"/>
      <c r="I38" s="2"/>
      <c r="J38" s="2"/>
    </row>
    <row r="39" spans="1:10" ht="131" customHeight="1" x14ac:dyDescent="0.2">
      <c r="A39" s="17" t="s">
        <v>26</v>
      </c>
      <c r="B39" s="2"/>
      <c r="C39" s="2"/>
      <c r="D39" s="2"/>
      <c r="E39" s="2"/>
      <c r="G39" s="2"/>
      <c r="H39" s="2"/>
      <c r="I39" s="2"/>
      <c r="J39" s="2"/>
    </row>
    <row r="40" spans="1:10" x14ac:dyDescent="0.2">
      <c r="A40" s="16" t="s">
        <v>27</v>
      </c>
      <c r="B40" s="2"/>
      <c r="C40" s="2"/>
      <c r="D40" s="2"/>
      <c r="E40" s="2"/>
      <c r="G40" s="2"/>
      <c r="H40" s="2"/>
      <c r="I40" s="2"/>
      <c r="J40" s="2"/>
    </row>
    <row r="41" spans="1:10" ht="80" customHeight="1" x14ac:dyDescent="0.2">
      <c r="A41" s="18" t="s">
        <v>28</v>
      </c>
      <c r="B41" s="2"/>
      <c r="C41" s="2"/>
      <c r="D41" s="2"/>
      <c r="E41" s="2"/>
      <c r="G41" s="2"/>
      <c r="H41" s="2"/>
      <c r="I41" s="2"/>
      <c r="J41" s="2"/>
    </row>
    <row r="42" spans="1:10" x14ac:dyDescent="0.2">
      <c r="A42" s="16" t="s">
        <v>29</v>
      </c>
      <c r="B42" s="2"/>
      <c r="C42" s="2"/>
      <c r="D42" s="2"/>
      <c r="E42" s="2"/>
      <c r="G42" s="2"/>
      <c r="H42" s="2"/>
      <c r="I42" s="2"/>
      <c r="J42" s="2"/>
    </row>
    <row r="43" spans="1:10" ht="80" customHeight="1" x14ac:dyDescent="0.2">
      <c r="A43" s="17" t="s">
        <v>30</v>
      </c>
      <c r="B43" s="2"/>
      <c r="C43" s="2"/>
      <c r="D43" s="2"/>
      <c r="E43" s="2"/>
      <c r="G43" s="2"/>
      <c r="H43" s="2"/>
      <c r="I43" s="2"/>
      <c r="J43" s="2"/>
    </row>
    <row r="44" spans="1:10" ht="16" customHeight="1" x14ac:dyDescent="0.2">
      <c r="A44" s="16" t="s">
        <v>31</v>
      </c>
      <c r="B44" s="2"/>
      <c r="C44" s="2"/>
      <c r="D44" s="2"/>
      <c r="E44" s="2"/>
      <c r="G44" s="20"/>
      <c r="H44" s="20"/>
      <c r="I44" s="20"/>
      <c r="J44" s="20"/>
    </row>
    <row r="45" spans="1:10" ht="64" customHeight="1" x14ac:dyDescent="0.2">
      <c r="A45" s="18" t="s">
        <v>32</v>
      </c>
      <c r="B45" s="2"/>
      <c r="C45" s="2"/>
      <c r="D45" s="2"/>
      <c r="E45" s="2"/>
      <c r="G45" s="21" t="s">
        <v>33</v>
      </c>
      <c r="H45" s="22"/>
      <c r="I45" s="22"/>
      <c r="J45" s="22"/>
    </row>
    <row r="46" spans="1:10" ht="22" customHeight="1" x14ac:dyDescent="0.2">
      <c r="A46" s="16" t="s">
        <v>34</v>
      </c>
      <c r="B46" s="2"/>
      <c r="C46" s="2"/>
      <c r="D46" s="2"/>
      <c r="E46" s="2"/>
      <c r="G46" s="23" t="s">
        <v>35</v>
      </c>
      <c r="H46" s="22"/>
      <c r="I46" s="22"/>
      <c r="J46" s="22"/>
    </row>
    <row r="47" spans="1:10" ht="76" customHeight="1" x14ac:dyDescent="0.2">
      <c r="A47" s="17" t="s">
        <v>36</v>
      </c>
      <c r="B47" s="2"/>
      <c r="C47" s="2"/>
      <c r="D47" s="2"/>
      <c r="E47" s="2"/>
      <c r="G47" s="22"/>
      <c r="H47" s="22"/>
      <c r="I47" s="22"/>
      <c r="J47" s="22"/>
    </row>
    <row r="48" spans="1:10" ht="22" customHeight="1" x14ac:dyDescent="0.2">
      <c r="A48" s="16"/>
      <c r="B48" s="2"/>
      <c r="C48" s="2"/>
      <c r="D48" s="2"/>
      <c r="E48" s="2"/>
      <c r="G48" s="22"/>
      <c r="H48" s="22"/>
      <c r="I48" s="22"/>
      <c r="J48" s="22"/>
    </row>
    <row r="49" spans="7:10" ht="22" customHeight="1" x14ac:dyDescent="0.2">
      <c r="G49" s="22"/>
      <c r="H49" s="22"/>
      <c r="I49" s="22"/>
      <c r="J49" s="22"/>
    </row>
    <row r="50" spans="7:10" ht="22" customHeight="1" x14ac:dyDescent="0.2">
      <c r="G50" s="22"/>
      <c r="H50" s="22"/>
      <c r="I50" s="22"/>
      <c r="J50" s="22"/>
    </row>
    <row r="51" spans="7:10" ht="22" customHeight="1" x14ac:dyDescent="0.2">
      <c r="G51" s="22"/>
      <c r="H51" s="22"/>
      <c r="I51" s="22"/>
      <c r="J51" s="22"/>
    </row>
    <row r="52" spans="7:10" ht="22" customHeight="1" x14ac:dyDescent="0.2">
      <c r="G52" s="22"/>
      <c r="H52" s="22"/>
      <c r="I52" s="22"/>
      <c r="J52" s="22"/>
    </row>
    <row r="53" spans="7:10" ht="22" customHeight="1" x14ac:dyDescent="0.2">
      <c r="G53" s="22"/>
      <c r="H53" s="22"/>
      <c r="I53" s="22"/>
      <c r="J53" s="22"/>
    </row>
    <row r="54" spans="7:10" ht="22" customHeight="1" x14ac:dyDescent="0.2">
      <c r="G54" s="22"/>
      <c r="H54" s="22"/>
      <c r="I54" s="22"/>
      <c r="J54" s="22"/>
    </row>
    <row r="55" spans="7:10" ht="22" customHeight="1" x14ac:dyDescent="0.2">
      <c r="G55" s="22"/>
      <c r="H55" s="22"/>
      <c r="I55" s="22"/>
      <c r="J55" s="22"/>
    </row>
    <row r="56" spans="7:10" ht="22" customHeight="1" x14ac:dyDescent="0.2">
      <c r="G56" s="22"/>
      <c r="H56" s="22"/>
      <c r="I56" s="22"/>
      <c r="J56" s="22"/>
    </row>
    <row r="57" spans="7:10" ht="22" customHeight="1" x14ac:dyDescent="0.2">
      <c r="G57" s="22"/>
      <c r="H57" s="22"/>
      <c r="I57" s="22"/>
      <c r="J57" s="22"/>
    </row>
    <row r="58" spans="7:10" ht="22" customHeight="1" x14ac:dyDescent="0.2">
      <c r="G58" s="22"/>
      <c r="H58" s="22"/>
      <c r="I58" s="22"/>
      <c r="J58" s="22"/>
    </row>
    <row r="60" spans="7:10" x14ac:dyDescent="0.2">
      <c r="G60" s="21" t="s">
        <v>37</v>
      </c>
      <c r="H60" s="22"/>
      <c r="I60" s="22"/>
      <c r="J60" s="22"/>
    </row>
    <row r="61" spans="7:10" x14ac:dyDescent="0.2">
      <c r="G61" s="23" t="s">
        <v>38</v>
      </c>
      <c r="H61" s="22"/>
      <c r="I61" s="22"/>
      <c r="J61" s="22"/>
    </row>
    <row r="62" spans="7:10" x14ac:dyDescent="0.2">
      <c r="G62" s="22"/>
      <c r="H62" s="22"/>
      <c r="I62" s="22"/>
      <c r="J62" s="22"/>
    </row>
    <row r="63" spans="7:10" x14ac:dyDescent="0.2">
      <c r="G63" s="22"/>
      <c r="H63" s="22"/>
      <c r="I63" s="22"/>
      <c r="J63" s="22"/>
    </row>
    <row r="64" spans="7:10" x14ac:dyDescent="0.2">
      <c r="G64" s="22"/>
      <c r="H64" s="22"/>
      <c r="I64" s="22"/>
      <c r="J64" s="22"/>
    </row>
    <row r="65" spans="7:10" x14ac:dyDescent="0.2">
      <c r="G65" s="22"/>
      <c r="H65" s="22"/>
      <c r="I65" s="22"/>
      <c r="J65" s="22"/>
    </row>
    <row r="66" spans="7:10" x14ac:dyDescent="0.2">
      <c r="G66" s="22"/>
      <c r="H66" s="22"/>
      <c r="I66" s="22"/>
      <c r="J66" s="22"/>
    </row>
  </sheetData>
  <mergeCells count="35">
    <mergeCell ref="G60:J60"/>
    <mergeCell ref="G61:J66"/>
    <mergeCell ref="A44:E44"/>
    <mergeCell ref="A45:E45"/>
    <mergeCell ref="G45:J45"/>
    <mergeCell ref="A46:E46"/>
    <mergeCell ref="G46:J58"/>
    <mergeCell ref="A47:E47"/>
    <mergeCell ref="A48:E48"/>
    <mergeCell ref="A36:E36"/>
    <mergeCell ref="A37:E37"/>
    <mergeCell ref="G37:J37"/>
    <mergeCell ref="A38:E38"/>
    <mergeCell ref="G38:J43"/>
    <mergeCell ref="A39:E39"/>
    <mergeCell ref="A40:E40"/>
    <mergeCell ref="A41:E41"/>
    <mergeCell ref="A42:E42"/>
    <mergeCell ref="A43:E43"/>
    <mergeCell ref="G17:J17"/>
    <mergeCell ref="G18:J35"/>
    <mergeCell ref="A19:E19"/>
    <mergeCell ref="A20:E29"/>
    <mergeCell ref="A30:E30"/>
    <mergeCell ref="A31:E31"/>
    <mergeCell ref="A32:E32"/>
    <mergeCell ref="A33:E33"/>
    <mergeCell ref="A34:E34"/>
    <mergeCell ref="A35:E35"/>
    <mergeCell ref="A1:E2"/>
    <mergeCell ref="A3:E4"/>
    <mergeCell ref="G5:J5"/>
    <mergeCell ref="G6:J6"/>
    <mergeCell ref="A7:E15"/>
    <mergeCell ref="G7:J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EA864-FFC7-864B-9E93-2C32F200431F}">
  <sheetPr>
    <tabColor rgb="FF1F4E78"/>
  </sheetPr>
  <dimension ref="A1:E52"/>
  <sheetViews>
    <sheetView workbookViewId="0">
      <pane ySplit="9" topLeftCell="A37" activePane="bottomLeft" state="frozen"/>
      <selection activeCell="C59" sqref="C59"/>
      <selection pane="bottomLeft" activeCell="C59" sqref="C59"/>
    </sheetView>
  </sheetViews>
  <sheetFormatPr baseColWidth="10" defaultColWidth="8.83203125" defaultRowHeight="16" x14ac:dyDescent="0.2"/>
  <cols>
    <col min="1" max="1" width="10" customWidth="1"/>
    <col min="2" max="2" width="30" customWidth="1"/>
    <col min="3" max="5" width="48" customWidth="1"/>
  </cols>
  <sheetData>
    <row r="1" spans="1:5" x14ac:dyDescent="0.2">
      <c r="A1" s="24" t="s">
        <v>39</v>
      </c>
      <c r="B1" s="25"/>
      <c r="C1" s="25"/>
      <c r="D1" s="25"/>
      <c r="E1" s="25"/>
    </row>
    <row r="2" spans="1:5" x14ac:dyDescent="0.2">
      <c r="A2" s="25"/>
      <c r="B2" s="25"/>
      <c r="C2" s="25"/>
      <c r="D2" s="25"/>
      <c r="E2" s="25"/>
    </row>
    <row r="3" spans="1:5" ht="36" customHeight="1" x14ac:dyDescent="0.2">
      <c r="A3" s="26" t="s">
        <v>40</v>
      </c>
      <c r="B3" s="2"/>
      <c r="C3" s="2"/>
      <c r="D3" s="2"/>
      <c r="E3" s="2"/>
    </row>
    <row r="5" spans="1:5" x14ac:dyDescent="0.2">
      <c r="A5" s="27" t="s">
        <v>41</v>
      </c>
      <c r="B5" s="25"/>
      <c r="C5" s="25"/>
      <c r="D5" s="25"/>
      <c r="E5" s="25"/>
    </row>
    <row r="6" spans="1:5" ht="50" customHeight="1" x14ac:dyDescent="0.2">
      <c r="A6" s="23" t="s">
        <v>42</v>
      </c>
      <c r="B6" s="22"/>
      <c r="C6" s="22"/>
      <c r="D6" s="22"/>
      <c r="E6" s="22"/>
    </row>
    <row r="8" spans="1:5" x14ac:dyDescent="0.2">
      <c r="A8" s="27" t="s">
        <v>43</v>
      </c>
      <c r="B8" s="25"/>
      <c r="C8" s="25"/>
      <c r="D8" s="25"/>
      <c r="E8" s="25"/>
    </row>
    <row r="9" spans="1:5" ht="17" x14ac:dyDescent="0.2">
      <c r="A9" s="28" t="s">
        <v>44</v>
      </c>
      <c r="B9" s="28" t="s">
        <v>45</v>
      </c>
      <c r="C9" s="28" t="s">
        <v>46</v>
      </c>
      <c r="D9" s="28" t="s">
        <v>47</v>
      </c>
      <c r="E9" s="28" t="s">
        <v>48</v>
      </c>
    </row>
    <row r="10" spans="1:5" ht="50" customHeight="1" x14ac:dyDescent="0.2">
      <c r="A10" s="29" t="s">
        <v>49</v>
      </c>
      <c r="B10" s="29" t="s">
        <v>50</v>
      </c>
      <c r="C10" s="30" t="s">
        <v>51</v>
      </c>
      <c r="D10" s="30" t="s">
        <v>52</v>
      </c>
      <c r="E10" s="30" t="s">
        <v>53</v>
      </c>
    </row>
    <row r="11" spans="1:5" ht="50" customHeight="1" x14ac:dyDescent="0.2">
      <c r="A11" s="29" t="s">
        <v>54</v>
      </c>
      <c r="B11" s="29" t="s">
        <v>55</v>
      </c>
      <c r="C11" s="30" t="s">
        <v>56</v>
      </c>
      <c r="D11" s="30" t="s">
        <v>57</v>
      </c>
      <c r="E11" s="30" t="s">
        <v>58</v>
      </c>
    </row>
    <row r="12" spans="1:5" ht="50" customHeight="1" x14ac:dyDescent="0.2">
      <c r="A12" s="29" t="s">
        <v>59</v>
      </c>
      <c r="B12" s="29" t="s">
        <v>60</v>
      </c>
      <c r="C12" s="30" t="s">
        <v>61</v>
      </c>
      <c r="D12" s="30" t="s">
        <v>62</v>
      </c>
      <c r="E12" s="30" t="s">
        <v>63</v>
      </c>
    </row>
    <row r="13" spans="1:5" ht="50" customHeight="1" x14ac:dyDescent="0.2">
      <c r="A13" s="29" t="s">
        <v>64</v>
      </c>
      <c r="B13" s="29" t="s">
        <v>65</v>
      </c>
      <c r="C13" s="30" t="s">
        <v>66</v>
      </c>
      <c r="D13" s="30" t="s">
        <v>67</v>
      </c>
      <c r="E13" s="30" t="s">
        <v>68</v>
      </c>
    </row>
    <row r="14" spans="1:5" ht="50" customHeight="1" x14ac:dyDescent="0.2">
      <c r="A14" s="29" t="s">
        <v>69</v>
      </c>
      <c r="B14" s="29" t="s">
        <v>70</v>
      </c>
      <c r="C14" s="30" t="s">
        <v>71</v>
      </c>
      <c r="D14" s="30" t="s">
        <v>72</v>
      </c>
      <c r="E14" s="30" t="s">
        <v>73</v>
      </c>
    </row>
    <row r="15" spans="1:5" ht="50" customHeight="1" x14ac:dyDescent="0.2">
      <c r="A15" s="29" t="s">
        <v>74</v>
      </c>
      <c r="B15" s="29" t="s">
        <v>75</v>
      </c>
      <c r="C15" s="30" t="s">
        <v>76</v>
      </c>
      <c r="D15" s="30" t="s">
        <v>77</v>
      </c>
      <c r="E15" s="30" t="s">
        <v>78</v>
      </c>
    </row>
    <row r="16" spans="1:5" ht="50" customHeight="1" x14ac:dyDescent="0.2">
      <c r="A16" s="29" t="s">
        <v>79</v>
      </c>
      <c r="B16" s="29" t="s">
        <v>80</v>
      </c>
      <c r="C16" s="30" t="s">
        <v>81</v>
      </c>
      <c r="D16" s="30" t="s">
        <v>82</v>
      </c>
      <c r="E16" s="30" t="s">
        <v>83</v>
      </c>
    </row>
    <row r="17" spans="1:5" ht="50" customHeight="1" x14ac:dyDescent="0.2">
      <c r="A17" s="29" t="s">
        <v>84</v>
      </c>
      <c r="B17" s="29" t="s">
        <v>85</v>
      </c>
      <c r="C17" s="30" t="s">
        <v>86</v>
      </c>
      <c r="D17" s="30" t="s">
        <v>87</v>
      </c>
      <c r="E17" s="30" t="s">
        <v>88</v>
      </c>
    </row>
    <row r="18" spans="1:5" ht="50" customHeight="1" x14ac:dyDescent="0.2">
      <c r="A18" s="29" t="s">
        <v>89</v>
      </c>
      <c r="B18" s="29" t="s">
        <v>90</v>
      </c>
      <c r="C18" s="30" t="s">
        <v>91</v>
      </c>
      <c r="D18" s="30" t="s">
        <v>92</v>
      </c>
      <c r="E18" s="30" t="s">
        <v>93</v>
      </c>
    </row>
    <row r="19" spans="1:5" ht="50" customHeight="1" x14ac:dyDescent="0.2">
      <c r="A19" s="29" t="s">
        <v>94</v>
      </c>
      <c r="B19" s="29" t="s">
        <v>95</v>
      </c>
      <c r="C19" s="30" t="s">
        <v>96</v>
      </c>
      <c r="D19" s="30" t="s">
        <v>97</v>
      </c>
      <c r="E19" s="30" t="s">
        <v>98</v>
      </c>
    </row>
    <row r="20" spans="1:5" ht="50" customHeight="1" x14ac:dyDescent="0.2">
      <c r="A20" s="29" t="s">
        <v>99</v>
      </c>
      <c r="B20" s="29" t="s">
        <v>100</v>
      </c>
      <c r="C20" s="30" t="s">
        <v>101</v>
      </c>
      <c r="D20" s="30" t="s">
        <v>102</v>
      </c>
      <c r="E20" s="30" t="s">
        <v>103</v>
      </c>
    </row>
    <row r="21" spans="1:5" ht="50" customHeight="1" x14ac:dyDescent="0.2">
      <c r="A21" s="29" t="s">
        <v>104</v>
      </c>
      <c r="B21" s="29" t="s">
        <v>105</v>
      </c>
      <c r="C21" s="30" t="s">
        <v>106</v>
      </c>
      <c r="D21" s="30" t="s">
        <v>107</v>
      </c>
      <c r="E21" s="30" t="s">
        <v>108</v>
      </c>
    </row>
    <row r="22" spans="1:5" ht="50" customHeight="1" x14ac:dyDescent="0.2">
      <c r="A22" s="29" t="s">
        <v>109</v>
      </c>
      <c r="B22" s="29" t="s">
        <v>110</v>
      </c>
      <c r="C22" s="30" t="s">
        <v>111</v>
      </c>
      <c r="D22" s="30" t="s">
        <v>112</v>
      </c>
      <c r="E22" s="30" t="s">
        <v>113</v>
      </c>
    </row>
    <row r="23" spans="1:5" ht="50" customHeight="1" x14ac:dyDescent="0.2">
      <c r="A23" s="29" t="s">
        <v>114</v>
      </c>
      <c r="B23" s="29" t="s">
        <v>115</v>
      </c>
      <c r="C23" s="30" t="s">
        <v>116</v>
      </c>
      <c r="D23" s="30" t="s">
        <v>117</v>
      </c>
      <c r="E23" s="30" t="s">
        <v>118</v>
      </c>
    </row>
    <row r="24" spans="1:5" ht="50" customHeight="1" x14ac:dyDescent="0.2">
      <c r="A24" s="29" t="s">
        <v>119</v>
      </c>
      <c r="B24" s="29" t="s">
        <v>120</v>
      </c>
      <c r="C24" s="30" t="s">
        <v>121</v>
      </c>
      <c r="D24" s="30" t="s">
        <v>122</v>
      </c>
      <c r="E24" s="30" t="s">
        <v>123</v>
      </c>
    </row>
    <row r="25" spans="1:5" ht="50" customHeight="1" x14ac:dyDescent="0.2">
      <c r="A25" s="29" t="s">
        <v>124</v>
      </c>
      <c r="B25" s="29" t="s">
        <v>125</v>
      </c>
      <c r="C25" s="30" t="s">
        <v>126</v>
      </c>
      <c r="D25" s="30" t="s">
        <v>127</v>
      </c>
      <c r="E25" s="30" t="s">
        <v>128</v>
      </c>
    </row>
    <row r="26" spans="1:5" ht="50" customHeight="1" x14ac:dyDescent="0.2">
      <c r="A26" s="29" t="s">
        <v>129</v>
      </c>
      <c r="B26" s="29" t="s">
        <v>130</v>
      </c>
      <c r="C26" s="30" t="s">
        <v>131</v>
      </c>
      <c r="D26" s="30" t="s">
        <v>132</v>
      </c>
      <c r="E26" s="30" t="s">
        <v>133</v>
      </c>
    </row>
    <row r="27" spans="1:5" ht="50" customHeight="1" x14ac:dyDescent="0.2">
      <c r="A27" s="29" t="s">
        <v>134</v>
      </c>
      <c r="B27" s="29" t="s">
        <v>135</v>
      </c>
      <c r="C27" s="30" t="s">
        <v>136</v>
      </c>
      <c r="D27" s="30" t="s">
        <v>137</v>
      </c>
      <c r="E27" s="30" t="s">
        <v>138</v>
      </c>
    </row>
    <row r="28" spans="1:5" ht="50" customHeight="1" x14ac:dyDescent="0.2">
      <c r="A28" s="29" t="s">
        <v>139</v>
      </c>
      <c r="B28" s="29" t="s">
        <v>140</v>
      </c>
      <c r="C28" s="30" t="s">
        <v>141</v>
      </c>
      <c r="D28" s="30" t="s">
        <v>142</v>
      </c>
      <c r="E28" s="30" t="s">
        <v>143</v>
      </c>
    </row>
    <row r="29" spans="1:5" ht="50" customHeight="1" x14ac:dyDescent="0.2">
      <c r="A29" s="29" t="s">
        <v>144</v>
      </c>
      <c r="B29" s="29" t="s">
        <v>145</v>
      </c>
      <c r="C29" s="30" t="s">
        <v>146</v>
      </c>
      <c r="D29" s="30" t="s">
        <v>147</v>
      </c>
      <c r="E29" s="30" t="s">
        <v>148</v>
      </c>
    </row>
    <row r="30" spans="1:5" ht="50" customHeight="1" x14ac:dyDescent="0.2">
      <c r="A30" s="29" t="s">
        <v>149</v>
      </c>
      <c r="B30" s="29" t="s">
        <v>150</v>
      </c>
      <c r="C30" s="30" t="s">
        <v>151</v>
      </c>
      <c r="D30" s="30" t="s">
        <v>152</v>
      </c>
      <c r="E30" s="30" t="s">
        <v>153</v>
      </c>
    </row>
    <row r="31" spans="1:5" ht="50" customHeight="1" x14ac:dyDescent="0.2">
      <c r="A31" s="29" t="s">
        <v>154</v>
      </c>
      <c r="B31" s="29" t="s">
        <v>155</v>
      </c>
      <c r="C31" s="30" t="s">
        <v>156</v>
      </c>
      <c r="D31" s="30" t="s">
        <v>157</v>
      </c>
      <c r="E31" s="30" t="s">
        <v>158</v>
      </c>
    </row>
    <row r="32" spans="1:5" ht="50" customHeight="1" x14ac:dyDescent="0.2">
      <c r="A32" s="29" t="s">
        <v>159</v>
      </c>
      <c r="B32" s="29" t="s">
        <v>160</v>
      </c>
      <c r="C32" s="30" t="s">
        <v>161</v>
      </c>
      <c r="D32" s="30" t="s">
        <v>162</v>
      </c>
      <c r="E32" s="30" t="s">
        <v>163</v>
      </c>
    </row>
    <row r="33" spans="1:5" ht="50" customHeight="1" x14ac:dyDescent="0.2">
      <c r="A33" s="29" t="s">
        <v>164</v>
      </c>
      <c r="B33" s="29" t="s">
        <v>165</v>
      </c>
      <c r="C33" s="30" t="s">
        <v>166</v>
      </c>
      <c r="D33" s="30" t="s">
        <v>167</v>
      </c>
      <c r="E33" s="30" t="s">
        <v>168</v>
      </c>
    </row>
    <row r="34" spans="1:5" ht="50" customHeight="1" x14ac:dyDescent="0.2">
      <c r="A34" s="29" t="s">
        <v>169</v>
      </c>
      <c r="B34" s="29" t="s">
        <v>170</v>
      </c>
      <c r="C34" s="30" t="s">
        <v>171</v>
      </c>
      <c r="D34" s="30" t="s">
        <v>172</v>
      </c>
      <c r="E34" s="30" t="s">
        <v>173</v>
      </c>
    </row>
    <row r="35" spans="1:5" ht="50" customHeight="1" x14ac:dyDescent="0.2">
      <c r="A35" s="29" t="s">
        <v>174</v>
      </c>
      <c r="B35" s="29" t="s">
        <v>175</v>
      </c>
      <c r="C35" s="30" t="s">
        <v>176</v>
      </c>
      <c r="D35" s="30" t="s">
        <v>177</v>
      </c>
      <c r="E35" s="30" t="s">
        <v>178</v>
      </c>
    </row>
    <row r="36" spans="1:5" ht="50" customHeight="1" x14ac:dyDescent="0.2">
      <c r="A36" s="29" t="s">
        <v>179</v>
      </c>
      <c r="B36" s="29" t="s">
        <v>180</v>
      </c>
      <c r="C36" s="30" t="s">
        <v>181</v>
      </c>
      <c r="D36" s="30" t="s">
        <v>182</v>
      </c>
      <c r="E36" s="30" t="s">
        <v>183</v>
      </c>
    </row>
    <row r="37" spans="1:5" ht="50" customHeight="1" x14ac:dyDescent="0.2">
      <c r="A37" s="29" t="s">
        <v>184</v>
      </c>
      <c r="B37" s="29" t="s">
        <v>185</v>
      </c>
      <c r="C37" s="30" t="s">
        <v>186</v>
      </c>
      <c r="D37" s="30" t="s">
        <v>187</v>
      </c>
      <c r="E37" s="30" t="s">
        <v>188</v>
      </c>
    </row>
    <row r="39" spans="1:5" x14ac:dyDescent="0.2">
      <c r="A39" s="27" t="s">
        <v>189</v>
      </c>
      <c r="B39" s="25"/>
      <c r="C39" s="25"/>
      <c r="D39" s="25"/>
      <c r="E39" s="25"/>
    </row>
    <row r="40" spans="1:5" ht="17" x14ac:dyDescent="0.2">
      <c r="A40" s="28" t="s">
        <v>190</v>
      </c>
      <c r="B40" s="28" t="s">
        <v>191</v>
      </c>
      <c r="C40" s="28" t="s">
        <v>192</v>
      </c>
      <c r="D40" s="28" t="s">
        <v>193</v>
      </c>
      <c r="E40" s="28" t="s">
        <v>194</v>
      </c>
    </row>
    <row r="41" spans="1:5" ht="40" customHeight="1" x14ac:dyDescent="0.2">
      <c r="A41" s="29" t="s">
        <v>195</v>
      </c>
      <c r="B41" s="29" t="s">
        <v>196</v>
      </c>
      <c r="C41" s="30" t="s">
        <v>197</v>
      </c>
      <c r="D41" s="30" t="s">
        <v>198</v>
      </c>
      <c r="E41" s="30" t="s">
        <v>199</v>
      </c>
    </row>
    <row r="42" spans="1:5" ht="40" customHeight="1" x14ac:dyDescent="0.2">
      <c r="A42" s="29" t="s">
        <v>195</v>
      </c>
      <c r="B42" s="29" t="s">
        <v>200</v>
      </c>
      <c r="C42" s="30" t="s">
        <v>201</v>
      </c>
      <c r="D42" s="30" t="s">
        <v>202</v>
      </c>
      <c r="E42" s="30" t="s">
        <v>203</v>
      </c>
    </row>
    <row r="43" spans="1:5" ht="40" customHeight="1" x14ac:dyDescent="0.2">
      <c r="A43" s="29" t="s">
        <v>204</v>
      </c>
      <c r="B43" s="29" t="s">
        <v>205</v>
      </c>
      <c r="C43" s="30" t="s">
        <v>206</v>
      </c>
      <c r="D43" s="30" t="s">
        <v>207</v>
      </c>
      <c r="E43" s="30" t="s">
        <v>208</v>
      </c>
    </row>
    <row r="44" spans="1:5" ht="40" customHeight="1" x14ac:dyDescent="0.2">
      <c r="A44" s="29" t="s">
        <v>209</v>
      </c>
      <c r="B44" s="29" t="s">
        <v>210</v>
      </c>
      <c r="C44" s="30" t="s">
        <v>211</v>
      </c>
      <c r="D44" s="30" t="s">
        <v>212</v>
      </c>
      <c r="E44" s="30" t="s">
        <v>213</v>
      </c>
    </row>
    <row r="45" spans="1:5" ht="40" customHeight="1" x14ac:dyDescent="0.2">
      <c r="A45" s="29" t="s">
        <v>214</v>
      </c>
      <c r="B45" s="29" t="s">
        <v>215</v>
      </c>
      <c r="C45" s="30" t="s">
        <v>216</v>
      </c>
      <c r="D45" s="30" t="s">
        <v>217</v>
      </c>
      <c r="E45" s="30" t="s">
        <v>218</v>
      </c>
    </row>
    <row r="46" spans="1:5" ht="40" customHeight="1" x14ac:dyDescent="0.2">
      <c r="A46" s="29" t="s">
        <v>219</v>
      </c>
      <c r="B46" s="29" t="s">
        <v>220</v>
      </c>
      <c r="C46" s="30" t="s">
        <v>221</v>
      </c>
      <c r="D46" s="30" t="s">
        <v>222</v>
      </c>
      <c r="E46" s="30" t="s">
        <v>223</v>
      </c>
    </row>
    <row r="47" spans="1:5" ht="40" customHeight="1" x14ac:dyDescent="0.2">
      <c r="A47" s="29" t="s">
        <v>224</v>
      </c>
      <c r="B47" s="29" t="s">
        <v>225</v>
      </c>
      <c r="C47" s="30" t="s">
        <v>226</v>
      </c>
      <c r="D47" s="30" t="s">
        <v>227</v>
      </c>
      <c r="E47" s="30" t="s">
        <v>228</v>
      </c>
    </row>
    <row r="48" spans="1:5" ht="40" customHeight="1" x14ac:dyDescent="0.2">
      <c r="A48" s="29" t="s">
        <v>224</v>
      </c>
      <c r="B48" s="29" t="s">
        <v>229</v>
      </c>
      <c r="C48" s="30" t="s">
        <v>230</v>
      </c>
      <c r="D48" s="30" t="s">
        <v>231</v>
      </c>
      <c r="E48" s="30" t="s">
        <v>232</v>
      </c>
    </row>
    <row r="49" spans="1:5" ht="40" customHeight="1" x14ac:dyDescent="0.2">
      <c r="A49" s="29" t="s">
        <v>233</v>
      </c>
      <c r="B49" s="29" t="s">
        <v>234</v>
      </c>
      <c r="C49" s="30" t="s">
        <v>235</v>
      </c>
      <c r="D49" s="30" t="s">
        <v>236</v>
      </c>
      <c r="E49" s="30" t="s">
        <v>237</v>
      </c>
    </row>
    <row r="50" spans="1:5" ht="40" customHeight="1" x14ac:dyDescent="0.2">
      <c r="A50" s="29" t="s">
        <v>233</v>
      </c>
      <c r="B50" s="29" t="s">
        <v>238</v>
      </c>
      <c r="C50" s="30" t="s">
        <v>239</v>
      </c>
      <c r="D50" s="30" t="s">
        <v>240</v>
      </c>
      <c r="E50" s="30" t="s">
        <v>241</v>
      </c>
    </row>
    <row r="51" spans="1:5" ht="40" customHeight="1" x14ac:dyDescent="0.2">
      <c r="A51" s="29" t="s">
        <v>233</v>
      </c>
      <c r="B51" s="29" t="s">
        <v>242</v>
      </c>
      <c r="C51" s="30" t="s">
        <v>243</v>
      </c>
      <c r="D51" s="30" t="s">
        <v>244</v>
      </c>
      <c r="E51" s="30" t="s">
        <v>245</v>
      </c>
    </row>
    <row r="52" spans="1:5" ht="36" customHeight="1" x14ac:dyDescent="0.2">
      <c r="A52" s="21" t="s">
        <v>246</v>
      </c>
      <c r="B52" s="22"/>
      <c r="C52" s="22"/>
      <c r="D52" s="22"/>
      <c r="E52" s="22"/>
    </row>
  </sheetData>
  <mergeCells count="7">
    <mergeCell ref="A52:E52"/>
    <mergeCell ref="A1:E2"/>
    <mergeCell ref="A3:E3"/>
    <mergeCell ref="A5:E5"/>
    <mergeCell ref="A6:E6"/>
    <mergeCell ref="A8:E8"/>
    <mergeCell ref="A39:E3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47F6D-64C5-F646-A4D9-D32BB1780001}">
  <sheetPr>
    <tabColor rgb="FF00B050"/>
  </sheetPr>
  <dimension ref="A1:C21"/>
  <sheetViews>
    <sheetView workbookViewId="0">
      <selection activeCell="C59" sqref="C59"/>
    </sheetView>
  </sheetViews>
  <sheetFormatPr baseColWidth="10" defaultRowHeight="16" x14ac:dyDescent="0.2"/>
  <cols>
    <col min="1" max="1" width="42.83203125" bestFit="1" customWidth="1"/>
    <col min="2" max="2" width="83.6640625" customWidth="1"/>
    <col min="3" max="3" width="72.6640625" customWidth="1"/>
  </cols>
  <sheetData>
    <row r="1" spans="1:3" x14ac:dyDescent="0.2">
      <c r="A1" s="31" t="s">
        <v>247</v>
      </c>
      <c r="B1" s="2"/>
      <c r="C1" s="2"/>
    </row>
    <row r="2" spans="1:3" x14ac:dyDescent="0.2">
      <c r="A2" s="2"/>
      <c r="B2" s="2"/>
      <c r="C2" s="2"/>
    </row>
    <row r="3" spans="1:3" ht="30" customHeight="1" x14ac:dyDescent="0.2">
      <c r="A3" s="32" t="s">
        <v>248</v>
      </c>
      <c r="B3" s="2"/>
      <c r="C3" s="2"/>
    </row>
    <row r="4" spans="1:3" ht="30" customHeight="1" x14ac:dyDescent="0.2">
      <c r="A4" s="2"/>
      <c r="B4" s="2"/>
      <c r="C4" s="2"/>
    </row>
    <row r="5" spans="1:3" x14ac:dyDescent="0.2">
      <c r="A5" s="33"/>
      <c r="B5" s="2"/>
      <c r="C5" s="2"/>
    </row>
    <row r="6" spans="1:3" x14ac:dyDescent="0.2">
      <c r="A6" s="34" t="s">
        <v>249</v>
      </c>
      <c r="B6" s="2"/>
      <c r="C6" s="2"/>
    </row>
    <row r="7" spans="1:3" x14ac:dyDescent="0.2">
      <c r="A7" s="35" t="s">
        <v>250</v>
      </c>
      <c r="B7" s="36"/>
      <c r="C7" s="36"/>
    </row>
    <row r="8" spans="1:3" x14ac:dyDescent="0.2">
      <c r="A8" s="35" t="s">
        <v>251</v>
      </c>
      <c r="B8" s="36"/>
      <c r="C8" s="36"/>
    </row>
    <row r="9" spans="1:3" x14ac:dyDescent="0.2">
      <c r="A9" s="35" t="s">
        <v>252</v>
      </c>
      <c r="B9" s="36"/>
      <c r="C9" s="36"/>
    </row>
    <row r="10" spans="1:3" x14ac:dyDescent="0.2">
      <c r="A10" s="35" t="s">
        <v>253</v>
      </c>
      <c r="B10" s="36"/>
      <c r="C10" s="36"/>
    </row>
    <row r="11" spans="1:3" x14ac:dyDescent="0.2">
      <c r="A11" s="35" t="s">
        <v>254</v>
      </c>
      <c r="B11" s="37"/>
      <c r="C11" s="37"/>
    </row>
    <row r="12" spans="1:3" x14ac:dyDescent="0.2">
      <c r="A12" s="35" t="s">
        <v>255</v>
      </c>
      <c r="B12" s="36"/>
      <c r="C12" s="36"/>
    </row>
    <row r="13" spans="1:3" x14ac:dyDescent="0.2">
      <c r="A13" s="35" t="s">
        <v>256</v>
      </c>
      <c r="B13" s="38"/>
      <c r="C13" s="39"/>
    </row>
    <row r="14" spans="1:3" ht="90" customHeight="1" x14ac:dyDescent="0.2">
      <c r="A14" s="35" t="s">
        <v>257</v>
      </c>
      <c r="B14" s="38"/>
      <c r="C14" s="40"/>
    </row>
    <row r="15" spans="1:3" x14ac:dyDescent="0.2">
      <c r="A15" s="35" t="s">
        <v>258</v>
      </c>
      <c r="B15" s="36"/>
      <c r="C15" s="36"/>
    </row>
    <row r="16" spans="1:3" x14ac:dyDescent="0.2">
      <c r="A16" s="35" t="s">
        <v>259</v>
      </c>
      <c r="B16" s="36"/>
      <c r="C16" s="36"/>
    </row>
    <row r="17" spans="1:3" x14ac:dyDescent="0.2">
      <c r="A17" s="35" t="s">
        <v>260</v>
      </c>
      <c r="B17" s="36"/>
      <c r="C17" s="36"/>
    </row>
    <row r="18" spans="1:3" x14ac:dyDescent="0.2">
      <c r="A18" s="35" t="s">
        <v>261</v>
      </c>
      <c r="B18" s="36"/>
      <c r="C18" s="36"/>
    </row>
    <row r="19" spans="1:3" x14ac:dyDescent="0.2">
      <c r="A19" s="35" t="s">
        <v>262</v>
      </c>
      <c r="B19" s="36"/>
      <c r="C19" s="36"/>
    </row>
    <row r="20" spans="1:3" x14ac:dyDescent="0.2">
      <c r="A20" s="41"/>
      <c r="B20" s="42"/>
      <c r="C20" s="2"/>
    </row>
    <row r="21" spans="1:3" x14ac:dyDescent="0.2">
      <c r="A21" s="35" t="s">
        <v>263</v>
      </c>
      <c r="B21" s="43"/>
      <c r="C21" s="39"/>
    </row>
  </sheetData>
  <mergeCells count="8">
    <mergeCell ref="B20:C20"/>
    <mergeCell ref="B21:C21"/>
    <mergeCell ref="A1:C2"/>
    <mergeCell ref="A3:C4"/>
    <mergeCell ref="A5:C5"/>
    <mergeCell ref="A6:C6"/>
    <mergeCell ref="B13:C13"/>
    <mergeCell ref="B14:C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8A98B-C810-204D-B18B-4E10A7F71DB4}">
  <sheetPr>
    <tabColor theme="7"/>
  </sheetPr>
  <dimension ref="A1:G63"/>
  <sheetViews>
    <sheetView workbookViewId="0">
      <pane ySplit="7" topLeftCell="A8" activePane="bottomLeft" state="frozen"/>
      <selection activeCell="C59" sqref="C59"/>
      <selection pane="bottomLeft" activeCell="C59" sqref="C59"/>
    </sheetView>
  </sheetViews>
  <sheetFormatPr baseColWidth="10" defaultRowHeight="16" x14ac:dyDescent="0.2"/>
  <cols>
    <col min="1" max="1" width="39" bestFit="1" customWidth="1"/>
    <col min="2" max="2" width="23.5" customWidth="1"/>
    <col min="3" max="3" width="109" customWidth="1"/>
    <col min="4" max="4" width="18.5" bestFit="1" customWidth="1"/>
    <col min="5" max="5" width="58.5" customWidth="1"/>
    <col min="6" max="6" width="25" bestFit="1" customWidth="1"/>
  </cols>
  <sheetData>
    <row r="1" spans="1:7" x14ac:dyDescent="0.2">
      <c r="A1" s="1" t="s">
        <v>264</v>
      </c>
      <c r="B1" s="2"/>
      <c r="C1" s="2"/>
      <c r="D1" s="2"/>
      <c r="E1" s="2"/>
      <c r="F1" s="2"/>
      <c r="G1" s="2"/>
    </row>
    <row r="2" spans="1:7" x14ac:dyDescent="0.2">
      <c r="A2" s="2"/>
      <c r="B2" s="2"/>
      <c r="C2" s="2"/>
      <c r="D2" s="2"/>
      <c r="E2" s="2"/>
      <c r="F2" s="2"/>
      <c r="G2" s="2"/>
    </row>
    <row r="3" spans="1:7" ht="30" customHeight="1" x14ac:dyDescent="0.2">
      <c r="A3" s="32" t="s">
        <v>265</v>
      </c>
      <c r="B3" s="2"/>
      <c r="C3" s="2"/>
      <c r="D3" s="2"/>
      <c r="E3" s="2"/>
      <c r="F3" s="2"/>
      <c r="G3" s="2"/>
    </row>
    <row r="4" spans="1:7" ht="30" customHeight="1" x14ac:dyDescent="0.2">
      <c r="A4" s="2"/>
      <c r="B4" s="2"/>
      <c r="C4" s="2"/>
      <c r="D4" s="2"/>
      <c r="E4" s="2"/>
      <c r="F4" s="2"/>
      <c r="G4" s="2"/>
    </row>
    <row r="5" spans="1:7" ht="78" customHeight="1" x14ac:dyDescent="0.2">
      <c r="A5" s="44" t="s">
        <v>266</v>
      </c>
      <c r="B5" s="22"/>
      <c r="C5" s="22"/>
      <c r="D5" s="22"/>
      <c r="E5" s="22"/>
      <c r="F5" s="22"/>
      <c r="G5" s="22"/>
    </row>
    <row r="6" spans="1:7" x14ac:dyDescent="0.2">
      <c r="A6" s="1" t="s">
        <v>267</v>
      </c>
      <c r="B6" s="2"/>
      <c r="C6" s="45">
        <f>'Opportunity Profile'!B7</f>
        <v>0</v>
      </c>
      <c r="D6" s="46" t="s">
        <v>268</v>
      </c>
      <c r="E6" s="47">
        <f>'Opportunity Profile'!B11</f>
        <v>0</v>
      </c>
      <c r="F6" s="48"/>
      <c r="G6" s="48"/>
    </row>
    <row r="7" spans="1:7" ht="48" customHeight="1" x14ac:dyDescent="0.2">
      <c r="A7" s="28" t="s">
        <v>44</v>
      </c>
      <c r="B7" s="28" t="s">
        <v>269</v>
      </c>
      <c r="C7" s="28" t="s">
        <v>270</v>
      </c>
      <c r="D7" s="28" t="s">
        <v>271</v>
      </c>
      <c r="E7" s="28" t="s">
        <v>272</v>
      </c>
      <c r="F7" s="28" t="s">
        <v>273</v>
      </c>
      <c r="G7" s="28" t="s">
        <v>274</v>
      </c>
    </row>
    <row r="8" spans="1:7" ht="33" customHeight="1" x14ac:dyDescent="0.2">
      <c r="A8" s="49" t="s">
        <v>49</v>
      </c>
      <c r="B8" s="50" t="s">
        <v>275</v>
      </c>
      <c r="C8" s="51" t="s">
        <v>276</v>
      </c>
      <c r="D8" s="52"/>
      <c r="E8" s="53"/>
      <c r="F8" s="53"/>
      <c r="G8" s="36"/>
    </row>
    <row r="9" spans="1:7" ht="34" customHeight="1" x14ac:dyDescent="0.2">
      <c r="A9" s="49" t="s">
        <v>54</v>
      </c>
      <c r="B9" s="50" t="s">
        <v>275</v>
      </c>
      <c r="C9" s="51" t="s">
        <v>277</v>
      </c>
      <c r="D9" s="52"/>
      <c r="E9" s="53"/>
      <c r="F9" s="53"/>
      <c r="G9" s="36"/>
    </row>
    <row r="10" spans="1:7" ht="34" customHeight="1" x14ac:dyDescent="0.2">
      <c r="A10" s="49" t="s">
        <v>59</v>
      </c>
      <c r="B10" s="50" t="s">
        <v>275</v>
      </c>
      <c r="C10" s="51" t="s">
        <v>278</v>
      </c>
      <c r="D10" s="52"/>
      <c r="E10" s="53"/>
      <c r="F10" s="53"/>
      <c r="G10" s="36"/>
    </row>
    <row r="11" spans="1:7" ht="34" customHeight="1" x14ac:dyDescent="0.2">
      <c r="A11" s="49" t="s">
        <v>64</v>
      </c>
      <c r="B11" s="50" t="s">
        <v>275</v>
      </c>
      <c r="C11" s="51" t="s">
        <v>279</v>
      </c>
      <c r="D11" s="52"/>
      <c r="E11" s="53"/>
      <c r="F11" s="53"/>
      <c r="G11" s="36"/>
    </row>
    <row r="12" spans="1:7" ht="34" customHeight="1" x14ac:dyDescent="0.2">
      <c r="A12" s="54" t="s">
        <v>69</v>
      </c>
      <c r="B12" s="50" t="s">
        <v>280</v>
      </c>
      <c r="C12" s="51" t="s">
        <v>281</v>
      </c>
      <c r="D12" s="52"/>
      <c r="E12" s="53"/>
      <c r="F12" s="53"/>
      <c r="G12" s="36"/>
    </row>
    <row r="13" spans="1:7" ht="34" customHeight="1" x14ac:dyDescent="0.2">
      <c r="A13" s="54" t="s">
        <v>74</v>
      </c>
      <c r="B13" s="50" t="s">
        <v>280</v>
      </c>
      <c r="C13" s="51" t="s">
        <v>282</v>
      </c>
      <c r="D13" s="52"/>
      <c r="E13" s="53"/>
      <c r="F13" s="53"/>
      <c r="G13" s="36"/>
    </row>
    <row r="14" spans="1:7" ht="34" customHeight="1" x14ac:dyDescent="0.2">
      <c r="A14" s="54" t="s">
        <v>79</v>
      </c>
      <c r="B14" s="50" t="s">
        <v>280</v>
      </c>
      <c r="C14" s="51" t="s">
        <v>283</v>
      </c>
      <c r="D14" s="52"/>
      <c r="E14" s="53"/>
      <c r="F14" s="53"/>
      <c r="G14" s="36"/>
    </row>
    <row r="15" spans="1:7" ht="34" customHeight="1" x14ac:dyDescent="0.2">
      <c r="A15" s="54" t="s">
        <v>84</v>
      </c>
      <c r="B15" s="50" t="s">
        <v>280</v>
      </c>
      <c r="C15" s="51" t="s">
        <v>284</v>
      </c>
      <c r="D15" s="52"/>
      <c r="E15" s="53"/>
      <c r="F15" s="53"/>
      <c r="G15" s="36"/>
    </row>
    <row r="16" spans="1:7" ht="34" customHeight="1" x14ac:dyDescent="0.2">
      <c r="A16" s="55" t="s">
        <v>89</v>
      </c>
      <c r="B16" s="50" t="s">
        <v>285</v>
      </c>
      <c r="C16" s="51" t="s">
        <v>286</v>
      </c>
      <c r="D16" s="52"/>
      <c r="E16" s="53"/>
      <c r="F16" s="53"/>
      <c r="G16" s="36"/>
    </row>
    <row r="17" spans="1:7" ht="34" customHeight="1" x14ac:dyDescent="0.2">
      <c r="A17" s="55" t="s">
        <v>94</v>
      </c>
      <c r="B17" s="50" t="s">
        <v>285</v>
      </c>
      <c r="C17" s="51" t="s">
        <v>287</v>
      </c>
      <c r="D17" s="52"/>
      <c r="E17" s="53"/>
      <c r="F17" s="53"/>
      <c r="G17" s="36"/>
    </row>
    <row r="18" spans="1:7" ht="34" customHeight="1" x14ac:dyDescent="0.2">
      <c r="A18" s="55" t="s">
        <v>99</v>
      </c>
      <c r="B18" s="50" t="s">
        <v>285</v>
      </c>
      <c r="C18" s="51" t="s">
        <v>288</v>
      </c>
      <c r="D18" s="52"/>
      <c r="E18" s="53"/>
      <c r="F18" s="53"/>
      <c r="G18" s="36"/>
    </row>
    <row r="19" spans="1:7" ht="34" customHeight="1" x14ac:dyDescent="0.2">
      <c r="A19" s="55" t="s">
        <v>104</v>
      </c>
      <c r="B19" s="50" t="s">
        <v>285</v>
      </c>
      <c r="C19" s="51" t="s">
        <v>289</v>
      </c>
      <c r="D19" s="52"/>
      <c r="E19" s="53"/>
      <c r="F19" s="53"/>
      <c r="G19" s="36"/>
    </row>
    <row r="20" spans="1:7" ht="34" customHeight="1" x14ac:dyDescent="0.2">
      <c r="A20" s="56" t="s">
        <v>109</v>
      </c>
      <c r="B20" s="50" t="s">
        <v>290</v>
      </c>
      <c r="C20" s="51" t="s">
        <v>291</v>
      </c>
      <c r="D20" s="52"/>
      <c r="E20" s="53"/>
      <c r="F20" s="53"/>
      <c r="G20" s="36"/>
    </row>
    <row r="21" spans="1:7" ht="34" customHeight="1" x14ac:dyDescent="0.2">
      <c r="A21" s="56" t="s">
        <v>114</v>
      </c>
      <c r="B21" s="50" t="s">
        <v>290</v>
      </c>
      <c r="C21" s="51" t="s">
        <v>292</v>
      </c>
      <c r="D21" s="52"/>
      <c r="E21" s="53"/>
      <c r="F21" s="53"/>
      <c r="G21" s="36"/>
    </row>
    <row r="22" spans="1:7" ht="34" customHeight="1" x14ac:dyDescent="0.2">
      <c r="A22" s="56" t="s">
        <v>119</v>
      </c>
      <c r="B22" s="50" t="s">
        <v>290</v>
      </c>
      <c r="C22" s="51" t="s">
        <v>293</v>
      </c>
      <c r="D22" s="52"/>
      <c r="E22" s="53"/>
      <c r="F22" s="53"/>
      <c r="G22" s="36"/>
    </row>
    <row r="23" spans="1:7" ht="34" customHeight="1" x14ac:dyDescent="0.2">
      <c r="A23" s="56" t="s">
        <v>124</v>
      </c>
      <c r="B23" s="50" t="s">
        <v>290</v>
      </c>
      <c r="C23" s="51" t="s">
        <v>294</v>
      </c>
      <c r="D23" s="52"/>
      <c r="E23" s="53"/>
      <c r="F23" s="53"/>
      <c r="G23" s="36"/>
    </row>
    <row r="24" spans="1:7" ht="51" customHeight="1" x14ac:dyDescent="0.2">
      <c r="A24" s="57" t="s">
        <v>129</v>
      </c>
      <c r="B24" s="50" t="s">
        <v>295</v>
      </c>
      <c r="C24" s="51" t="s">
        <v>296</v>
      </c>
      <c r="D24" s="52"/>
      <c r="E24" s="53"/>
      <c r="F24" s="53"/>
      <c r="G24" s="36"/>
    </row>
    <row r="25" spans="1:7" ht="51" customHeight="1" x14ac:dyDescent="0.2">
      <c r="A25" s="57" t="s">
        <v>134</v>
      </c>
      <c r="B25" s="50" t="s">
        <v>295</v>
      </c>
      <c r="C25" s="51" t="s">
        <v>297</v>
      </c>
      <c r="D25" s="52"/>
      <c r="E25" s="53"/>
      <c r="F25" s="53"/>
      <c r="G25" s="36"/>
    </row>
    <row r="26" spans="1:7" ht="51" customHeight="1" x14ac:dyDescent="0.2">
      <c r="A26" s="57" t="s">
        <v>139</v>
      </c>
      <c r="B26" s="50" t="s">
        <v>295</v>
      </c>
      <c r="C26" s="51" t="s">
        <v>298</v>
      </c>
      <c r="D26" s="52"/>
      <c r="E26" s="53"/>
      <c r="F26" s="53"/>
      <c r="G26" s="36"/>
    </row>
    <row r="27" spans="1:7" ht="51" customHeight="1" x14ac:dyDescent="0.2">
      <c r="A27" s="57" t="s">
        <v>144</v>
      </c>
      <c r="B27" s="50" t="s">
        <v>295</v>
      </c>
      <c r="C27" s="51" t="s">
        <v>299</v>
      </c>
      <c r="D27" s="52"/>
      <c r="E27" s="53"/>
      <c r="F27" s="53"/>
      <c r="G27" s="36"/>
    </row>
    <row r="28" spans="1:7" ht="34" customHeight="1" x14ac:dyDescent="0.2">
      <c r="A28" s="58" t="s">
        <v>149</v>
      </c>
      <c r="B28" s="50" t="s">
        <v>300</v>
      </c>
      <c r="C28" s="51" t="s">
        <v>301</v>
      </c>
      <c r="D28" s="52"/>
      <c r="E28" s="53"/>
      <c r="F28" s="53"/>
      <c r="G28" s="36"/>
    </row>
    <row r="29" spans="1:7" ht="34" customHeight="1" x14ac:dyDescent="0.2">
      <c r="A29" s="58" t="s">
        <v>154</v>
      </c>
      <c r="B29" s="50" t="s">
        <v>300</v>
      </c>
      <c r="C29" s="51" t="s">
        <v>302</v>
      </c>
      <c r="D29" s="52"/>
      <c r="E29" s="53"/>
      <c r="F29" s="53"/>
      <c r="G29" s="36"/>
    </row>
    <row r="30" spans="1:7" ht="34" customHeight="1" x14ac:dyDescent="0.2">
      <c r="A30" s="58" t="s">
        <v>159</v>
      </c>
      <c r="B30" s="50" t="s">
        <v>300</v>
      </c>
      <c r="C30" s="51" t="s">
        <v>303</v>
      </c>
      <c r="D30" s="52"/>
      <c r="E30" s="53"/>
      <c r="F30" s="53"/>
      <c r="G30" s="36"/>
    </row>
    <row r="31" spans="1:7" ht="34" customHeight="1" x14ac:dyDescent="0.2">
      <c r="A31" s="58" t="s">
        <v>164</v>
      </c>
      <c r="B31" s="50" t="s">
        <v>300</v>
      </c>
      <c r="C31" s="51" t="s">
        <v>304</v>
      </c>
      <c r="D31" s="52"/>
      <c r="E31" s="53"/>
      <c r="F31" s="53"/>
      <c r="G31" s="36"/>
    </row>
    <row r="32" spans="1:7" ht="34" customHeight="1" x14ac:dyDescent="0.2">
      <c r="A32" s="59" t="s">
        <v>169</v>
      </c>
      <c r="B32" s="50" t="s">
        <v>305</v>
      </c>
      <c r="C32" s="51" t="s">
        <v>306</v>
      </c>
      <c r="D32" s="52"/>
      <c r="E32" s="53"/>
      <c r="F32" s="53"/>
      <c r="G32" s="36"/>
    </row>
    <row r="33" spans="1:7" ht="34" customHeight="1" x14ac:dyDescent="0.2">
      <c r="A33" s="59" t="s">
        <v>174</v>
      </c>
      <c r="B33" s="50" t="s">
        <v>305</v>
      </c>
      <c r="C33" s="51" t="s">
        <v>307</v>
      </c>
      <c r="D33" s="52"/>
      <c r="E33" s="53"/>
      <c r="F33" s="53"/>
      <c r="G33" s="36"/>
    </row>
    <row r="34" spans="1:7" ht="34" customHeight="1" x14ac:dyDescent="0.2">
      <c r="A34" s="59" t="s">
        <v>179</v>
      </c>
      <c r="B34" s="50" t="s">
        <v>305</v>
      </c>
      <c r="C34" s="51" t="s">
        <v>308</v>
      </c>
      <c r="D34" s="52"/>
      <c r="E34" s="53"/>
      <c r="F34" s="53"/>
      <c r="G34" s="36"/>
    </row>
    <row r="35" spans="1:7" ht="34" customHeight="1" x14ac:dyDescent="0.2">
      <c r="A35" s="59" t="s">
        <v>184</v>
      </c>
      <c r="B35" s="50" t="s">
        <v>305</v>
      </c>
      <c r="C35" s="51" t="s">
        <v>309</v>
      </c>
      <c r="D35" s="52"/>
      <c r="E35" s="53"/>
      <c r="F35" s="53"/>
      <c r="G35" s="36"/>
    </row>
    <row r="37" spans="1:7" ht="37" customHeight="1" x14ac:dyDescent="0.2">
      <c r="A37" s="60" t="s">
        <v>310</v>
      </c>
      <c r="B37" s="2"/>
      <c r="C37" s="2"/>
      <c r="D37" s="2"/>
      <c r="E37" s="2"/>
      <c r="F37" s="2"/>
      <c r="G37" s="2"/>
    </row>
    <row r="38" spans="1:7" ht="45" customHeight="1" x14ac:dyDescent="0.2">
      <c r="A38" s="61" t="s">
        <v>269</v>
      </c>
      <c r="B38" s="61" t="s">
        <v>311</v>
      </c>
      <c r="C38" s="61" t="s">
        <v>312</v>
      </c>
      <c r="D38" s="62" t="s">
        <v>313</v>
      </c>
      <c r="E38" s="62" t="s">
        <v>314</v>
      </c>
      <c r="F38" s="62" t="s">
        <v>315</v>
      </c>
      <c r="G38" s="62"/>
    </row>
    <row r="39" spans="1:7" x14ac:dyDescent="0.2">
      <c r="A39" s="63" t="s">
        <v>275</v>
      </c>
      <c r="B39" s="64">
        <f>IFERROR(AVERAGE(D8:D11), 0)</f>
        <v>0</v>
      </c>
      <c r="C39" s="64">
        <f t="shared" ref="C39:C45" si="0">B39*4</f>
        <v>0</v>
      </c>
      <c r="D39" s="64">
        <f>COUNT(D8:D11)/4</f>
        <v>0</v>
      </c>
      <c r="E39" s="64" t="str">
        <f t="shared" ref="E39:E45" si="1">IF(B39=0, "Incomplete", IF(B39&lt;2.5, "Red", IF(B39&lt;3.5, "Amber", "Green")))</f>
        <v>Incomplete</v>
      </c>
      <c r="F39" s="64" t="str">
        <f t="shared" ref="F39:F45" si="2">IF(B39=0, "Complete the assessment", IF(B39&lt;2.5, "Binding or critical weakness", IF(B39&lt;3.5, "Requires targeted structuring", "Strong readiness condition")))</f>
        <v>Complete the assessment</v>
      </c>
      <c r="G39" s="65"/>
    </row>
    <row r="40" spans="1:7" x14ac:dyDescent="0.2">
      <c r="A40" s="63" t="s">
        <v>280</v>
      </c>
      <c r="B40" s="64">
        <f>IFERROR(AVERAGE(D12:D15), 0)</f>
        <v>0</v>
      </c>
      <c r="C40" s="64">
        <f t="shared" si="0"/>
        <v>0</v>
      </c>
      <c r="D40" s="64">
        <f>COUNT(D12:D15)/4</f>
        <v>0</v>
      </c>
      <c r="E40" s="64" t="str">
        <f t="shared" si="1"/>
        <v>Incomplete</v>
      </c>
      <c r="F40" s="64" t="str">
        <f t="shared" si="2"/>
        <v>Complete the assessment</v>
      </c>
      <c r="G40" s="65"/>
    </row>
    <row r="41" spans="1:7" x14ac:dyDescent="0.2">
      <c r="A41" s="63" t="s">
        <v>285</v>
      </c>
      <c r="B41" s="64">
        <f>IFERROR(AVERAGE(D16:D19), 0)</f>
        <v>0</v>
      </c>
      <c r="C41" s="64">
        <f t="shared" si="0"/>
        <v>0</v>
      </c>
      <c r="D41" s="64">
        <f>COUNT(D16:D19)/4</f>
        <v>0</v>
      </c>
      <c r="E41" s="64" t="str">
        <f t="shared" si="1"/>
        <v>Incomplete</v>
      </c>
      <c r="F41" s="64" t="str">
        <f t="shared" si="2"/>
        <v>Complete the assessment</v>
      </c>
      <c r="G41" s="65"/>
    </row>
    <row r="42" spans="1:7" x14ac:dyDescent="0.2">
      <c r="A42" s="63" t="s">
        <v>290</v>
      </c>
      <c r="B42" s="64">
        <f>IFERROR(AVERAGE(D20:D23), 0)</f>
        <v>0</v>
      </c>
      <c r="C42" s="64">
        <f t="shared" si="0"/>
        <v>0</v>
      </c>
      <c r="D42" s="64">
        <f>COUNT(D20:D23)/4</f>
        <v>0</v>
      </c>
      <c r="E42" s="64" t="str">
        <f t="shared" si="1"/>
        <v>Incomplete</v>
      </c>
      <c r="F42" s="64" t="str">
        <f t="shared" si="2"/>
        <v>Complete the assessment</v>
      </c>
      <c r="G42" s="65"/>
    </row>
    <row r="43" spans="1:7" x14ac:dyDescent="0.2">
      <c r="A43" s="63" t="s">
        <v>295</v>
      </c>
      <c r="B43" s="64">
        <f>IFERROR(AVERAGE(D24:D27), 0)</f>
        <v>0</v>
      </c>
      <c r="C43" s="64">
        <f t="shared" si="0"/>
        <v>0</v>
      </c>
      <c r="D43" s="64">
        <f>COUNT(D24:D27)/4</f>
        <v>0</v>
      </c>
      <c r="E43" s="64" t="str">
        <f t="shared" si="1"/>
        <v>Incomplete</v>
      </c>
      <c r="F43" s="64" t="str">
        <f t="shared" si="2"/>
        <v>Complete the assessment</v>
      </c>
      <c r="G43" s="65"/>
    </row>
    <row r="44" spans="1:7" x14ac:dyDescent="0.2">
      <c r="A44" s="63" t="s">
        <v>300</v>
      </c>
      <c r="B44" s="64">
        <f>IFERROR(AVERAGE(D28:D31), 0)</f>
        <v>0</v>
      </c>
      <c r="C44" s="64">
        <f t="shared" si="0"/>
        <v>0</v>
      </c>
      <c r="D44" s="64">
        <f>COUNT(D28:D31)/4</f>
        <v>0</v>
      </c>
      <c r="E44" s="64" t="str">
        <f t="shared" si="1"/>
        <v>Incomplete</v>
      </c>
      <c r="F44" s="64" t="str">
        <f t="shared" si="2"/>
        <v>Complete the assessment</v>
      </c>
      <c r="G44" s="65"/>
    </row>
    <row r="45" spans="1:7" x14ac:dyDescent="0.2">
      <c r="A45" s="63" t="s">
        <v>305</v>
      </c>
      <c r="B45" s="64">
        <f>IFERROR(AVERAGE(D32:D35), 0)</f>
        <v>0</v>
      </c>
      <c r="C45" s="64">
        <f t="shared" si="0"/>
        <v>0</v>
      </c>
      <c r="D45" s="64">
        <f>COUNT(D32:D35)/4</f>
        <v>0</v>
      </c>
      <c r="E45" s="64" t="str">
        <f t="shared" si="1"/>
        <v>Incomplete</v>
      </c>
      <c r="F45" s="64" t="str">
        <f t="shared" si="2"/>
        <v>Complete the assessment</v>
      </c>
      <c r="G45" s="65"/>
    </row>
    <row r="47" spans="1:7" x14ac:dyDescent="0.2">
      <c r="A47" s="65" t="s">
        <v>316</v>
      </c>
      <c r="B47" s="64">
        <f>SUM(C39:C45)</f>
        <v>0</v>
      </c>
      <c r="C47" t="s">
        <v>317</v>
      </c>
    </row>
    <row r="48" spans="1:7" x14ac:dyDescent="0.2">
      <c r="A48" s="65" t="s">
        <v>318</v>
      </c>
      <c r="B48" s="64" t="str">
        <f>IF(B47=0, "Incomplete", IF(B47&gt;=120, "Deployable", IF(B47&gt;=100, "Near deployable", IF(B47&gt;=80, "Requires structuring", IF(B47&gt;=60, "Early stage", "Pre-deployability")))))</f>
        <v>Incomplete</v>
      </c>
    </row>
    <row r="49" spans="1:7" x14ac:dyDescent="0.2">
      <c r="A49" s="65" t="s">
        <v>319</v>
      </c>
      <c r="B49" s="64" t="str">
        <f>IF(B47=0, "Incomplete", INDEX(A39:A45, MATCH(_xlfn.MINIFS(B39:B45, D39:D45, "&gt;0"), B39:B45, 0)))</f>
        <v>Incomplete</v>
      </c>
    </row>
    <row r="51" spans="1:7" x14ac:dyDescent="0.2">
      <c r="A51" s="27" t="s">
        <v>320</v>
      </c>
      <c r="B51" s="25"/>
      <c r="C51" s="25"/>
      <c r="D51" s="25"/>
      <c r="E51" s="25"/>
      <c r="F51" s="25"/>
      <c r="G51" s="25"/>
    </row>
    <row r="52" spans="1:7" ht="36" customHeight="1" x14ac:dyDescent="0.2">
      <c r="A52" s="66" t="s">
        <v>321</v>
      </c>
      <c r="B52" s="23" t="s">
        <v>322</v>
      </c>
      <c r="C52" s="22"/>
      <c r="D52" s="22"/>
      <c r="E52" s="22"/>
      <c r="F52" s="22"/>
      <c r="G52" s="22"/>
    </row>
    <row r="53" spans="1:7" ht="20" customHeight="1" x14ac:dyDescent="0.2">
      <c r="A53" s="66" t="s">
        <v>323</v>
      </c>
      <c r="B53" s="23" t="s">
        <v>324</v>
      </c>
      <c r="C53" s="22"/>
      <c r="D53" s="22"/>
      <c r="E53" s="22"/>
      <c r="F53" s="22"/>
      <c r="G53" s="22"/>
    </row>
    <row r="54" spans="1:7" ht="20" customHeight="1" x14ac:dyDescent="0.2">
      <c r="A54" s="66" t="s">
        <v>325</v>
      </c>
      <c r="B54" s="23" t="s">
        <v>326</v>
      </c>
      <c r="C54" s="22"/>
      <c r="D54" s="22"/>
      <c r="E54" s="22"/>
      <c r="F54" s="22"/>
      <c r="G54" s="22"/>
    </row>
    <row r="55" spans="1:7" ht="20" customHeight="1" x14ac:dyDescent="0.2">
      <c r="A55" s="66" t="s">
        <v>327</v>
      </c>
      <c r="B55" s="23" t="s">
        <v>328</v>
      </c>
      <c r="C55" s="22"/>
      <c r="D55" s="22"/>
      <c r="E55" s="22"/>
      <c r="F55" s="22"/>
      <c r="G55" s="22"/>
    </row>
    <row r="56" spans="1:7" ht="20" customHeight="1" x14ac:dyDescent="0.2">
      <c r="A56" s="66" t="s">
        <v>329</v>
      </c>
      <c r="B56" s="23" t="s">
        <v>330</v>
      </c>
      <c r="C56" s="22"/>
      <c r="D56" s="22"/>
      <c r="E56" s="22"/>
      <c r="F56" s="22"/>
      <c r="G56" s="22"/>
    </row>
    <row r="57" spans="1:7" ht="20" customHeight="1" x14ac:dyDescent="0.2">
      <c r="A57" s="66" t="s">
        <v>331</v>
      </c>
      <c r="B57" s="23" t="s">
        <v>332</v>
      </c>
      <c r="C57" s="22"/>
      <c r="D57" s="22"/>
      <c r="E57" s="22"/>
      <c r="F57" s="22"/>
      <c r="G57" s="22"/>
    </row>
    <row r="59" spans="1:7" x14ac:dyDescent="0.2">
      <c r="A59" s="27" t="s">
        <v>333</v>
      </c>
      <c r="B59" s="25"/>
      <c r="C59" s="25"/>
      <c r="D59" s="25"/>
      <c r="E59" s="25"/>
      <c r="F59" s="25"/>
      <c r="G59" s="25"/>
    </row>
    <row r="60" spans="1:7" ht="40" customHeight="1" x14ac:dyDescent="0.2">
      <c r="A60" s="23" t="s">
        <v>334</v>
      </c>
      <c r="B60" s="22"/>
      <c r="C60" s="22"/>
      <c r="D60" s="22"/>
      <c r="E60" s="22"/>
      <c r="F60" s="22"/>
      <c r="G60" s="22"/>
    </row>
    <row r="61" spans="1:7" ht="40" customHeight="1" x14ac:dyDescent="0.2">
      <c r="A61" s="67" t="s">
        <v>335</v>
      </c>
      <c r="B61" s="68" t="s">
        <v>336</v>
      </c>
      <c r="C61" s="69"/>
      <c r="D61" s="69"/>
      <c r="E61" s="69"/>
      <c r="F61" s="69"/>
      <c r="G61" s="69"/>
    </row>
    <row r="62" spans="1:7" ht="40" customHeight="1" x14ac:dyDescent="0.2">
      <c r="A62" s="67" t="s">
        <v>337</v>
      </c>
      <c r="B62" s="68" t="s">
        <v>338</v>
      </c>
      <c r="C62" s="69"/>
      <c r="D62" s="69"/>
      <c r="E62" s="69"/>
      <c r="F62" s="69"/>
      <c r="G62" s="69"/>
    </row>
    <row r="63" spans="1:7" ht="40" customHeight="1" x14ac:dyDescent="0.2">
      <c r="A63" s="67" t="s">
        <v>339</v>
      </c>
      <c r="B63" s="68" t="s">
        <v>340</v>
      </c>
      <c r="C63" s="69"/>
      <c r="D63" s="69"/>
      <c r="E63" s="69"/>
      <c r="F63" s="69"/>
      <c r="G63" s="69"/>
    </row>
  </sheetData>
  <mergeCells count="17">
    <mergeCell ref="A59:G59"/>
    <mergeCell ref="A60:G60"/>
    <mergeCell ref="B61:G61"/>
    <mergeCell ref="B62:G62"/>
    <mergeCell ref="B63:G63"/>
    <mergeCell ref="B52:G52"/>
    <mergeCell ref="B53:G53"/>
    <mergeCell ref="B54:G54"/>
    <mergeCell ref="B55:G55"/>
    <mergeCell ref="B56:G56"/>
    <mergeCell ref="B57:G57"/>
    <mergeCell ref="A1:G2"/>
    <mergeCell ref="A3:G4"/>
    <mergeCell ref="A5:G5"/>
    <mergeCell ref="A6:B6"/>
    <mergeCell ref="A37:G37"/>
    <mergeCell ref="A51:G51"/>
  </mergeCells>
  <dataValidations count="1">
    <dataValidation type="whole" allowBlank="1" showInputMessage="1" showErrorMessage="1" errorTitle="Score 1 to 5" error="Enter a whole number from 1 to 5, or leave blank if there is no evidence." promptTitle="Score 1-5" prompt="1 Critical weakness: absent/contradicted_x000a_2 Significant gaps: informal, untested_x000a_3 Partial: works in a limited setting_x000a_4 Strong: operational, evidenced_x000a_5 Fully ready: proven, repeatable, embedded_x000a_Blank = no evidence yet" sqref="D8:D35" xr:uid="{E34BF150-6A44-8340-95F7-0554882DADDF}">
      <formula1>1</formula1>
      <formula2>5</formula2>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0EA6-796D-A44E-AE89-8E7EBA84E775}">
  <sheetPr>
    <tabColor theme="7"/>
  </sheetPr>
  <dimension ref="A1:H28"/>
  <sheetViews>
    <sheetView workbookViewId="0">
      <pane ySplit="6" topLeftCell="A7" activePane="bottomLeft" state="frozen"/>
      <selection activeCell="C59" sqref="C59"/>
      <selection pane="bottomLeft" activeCell="C59" sqref="C59"/>
    </sheetView>
  </sheetViews>
  <sheetFormatPr baseColWidth="10" defaultRowHeight="16" x14ac:dyDescent="0.2"/>
  <cols>
    <col min="1" max="1" width="46.83203125" customWidth="1"/>
    <col min="2" max="2" width="39.33203125" bestFit="1" customWidth="1"/>
    <col min="3" max="3" width="20.6640625" customWidth="1"/>
    <col min="4" max="4" width="29.6640625" customWidth="1"/>
    <col min="5" max="5" width="26" customWidth="1"/>
    <col min="6" max="6" width="21.83203125" customWidth="1"/>
    <col min="7" max="7" width="33.1640625" customWidth="1"/>
    <col min="8" max="8" width="61" customWidth="1"/>
  </cols>
  <sheetData>
    <row r="1" spans="1:8" x14ac:dyDescent="0.2">
      <c r="A1" s="1" t="s">
        <v>341</v>
      </c>
      <c r="B1" s="2"/>
      <c r="C1" s="2"/>
      <c r="D1" s="2"/>
      <c r="E1" s="2"/>
      <c r="F1" s="2"/>
      <c r="G1" s="2"/>
      <c r="H1" s="2"/>
    </row>
    <row r="2" spans="1:8" x14ac:dyDescent="0.2">
      <c r="A2" s="2"/>
      <c r="B2" s="2"/>
      <c r="C2" s="2"/>
      <c r="D2" s="2"/>
      <c r="E2" s="2"/>
      <c r="F2" s="2"/>
      <c r="G2" s="2"/>
      <c r="H2" s="2"/>
    </row>
    <row r="3" spans="1:8" ht="30" customHeight="1" x14ac:dyDescent="0.2">
      <c r="A3" s="70" t="s">
        <v>342</v>
      </c>
      <c r="B3" s="2"/>
      <c r="C3" s="2"/>
      <c r="D3" s="2"/>
      <c r="E3" s="2"/>
      <c r="F3" s="2"/>
      <c r="G3" s="2"/>
      <c r="H3" s="2"/>
    </row>
    <row r="4" spans="1:8" ht="30" customHeight="1" x14ac:dyDescent="0.2">
      <c r="A4" s="2"/>
      <c r="B4" s="2"/>
      <c r="C4" s="2"/>
      <c r="D4" s="2"/>
      <c r="E4" s="2"/>
      <c r="F4" s="2"/>
      <c r="G4" s="2"/>
      <c r="H4" s="2"/>
    </row>
    <row r="5" spans="1:8" ht="92" customHeight="1" x14ac:dyDescent="0.2">
      <c r="A5" s="44" t="s">
        <v>343</v>
      </c>
      <c r="B5" s="22"/>
      <c r="C5" s="22"/>
      <c r="D5" s="22"/>
      <c r="E5" s="22"/>
      <c r="F5" s="22"/>
      <c r="G5" s="22"/>
      <c r="H5" s="22"/>
    </row>
    <row r="6" spans="1:8" ht="50" customHeight="1" x14ac:dyDescent="0.2">
      <c r="A6" s="28" t="s">
        <v>44</v>
      </c>
      <c r="B6" s="28" t="s">
        <v>344</v>
      </c>
      <c r="C6" s="28" t="s">
        <v>345</v>
      </c>
      <c r="D6" s="28" t="s">
        <v>346</v>
      </c>
      <c r="E6" s="28" t="s">
        <v>347</v>
      </c>
      <c r="F6" s="28" t="s">
        <v>348</v>
      </c>
      <c r="G6" s="28" t="s">
        <v>349</v>
      </c>
      <c r="H6" s="28" t="s">
        <v>350</v>
      </c>
    </row>
    <row r="7" spans="1:8" ht="68" customHeight="1" x14ac:dyDescent="0.2">
      <c r="A7" s="51" t="s">
        <v>351</v>
      </c>
      <c r="B7" s="51" t="s">
        <v>50</v>
      </c>
      <c r="C7" s="51" t="s">
        <v>352</v>
      </c>
      <c r="D7" s="52"/>
      <c r="E7" s="52"/>
      <c r="F7" s="64" t="str">
        <f t="shared" ref="F7:F16" si="0">IF(COUNT(D7:E7)&lt;2, "", D7*E7)</f>
        <v/>
      </c>
      <c r="G7" s="52"/>
      <c r="H7" s="71" t="s">
        <v>353</v>
      </c>
    </row>
    <row r="8" spans="1:8" ht="85" customHeight="1" x14ac:dyDescent="0.2">
      <c r="A8" s="51" t="s">
        <v>354</v>
      </c>
      <c r="B8" s="51" t="s">
        <v>355</v>
      </c>
      <c r="C8" s="51" t="s">
        <v>356</v>
      </c>
      <c r="D8" s="52"/>
      <c r="E8" s="52"/>
      <c r="F8" s="64" t="str">
        <f t="shared" si="0"/>
        <v/>
      </c>
      <c r="G8" s="52"/>
      <c r="H8" s="71" t="s">
        <v>357</v>
      </c>
    </row>
    <row r="9" spans="1:8" ht="119" customHeight="1" x14ac:dyDescent="0.2">
      <c r="A9" s="51" t="s">
        <v>358</v>
      </c>
      <c r="B9" s="51" t="s">
        <v>359</v>
      </c>
      <c r="C9" s="51" t="s">
        <v>360</v>
      </c>
      <c r="D9" s="52"/>
      <c r="E9" s="52"/>
      <c r="F9" s="64" t="str">
        <f t="shared" si="0"/>
        <v/>
      </c>
      <c r="G9" s="52"/>
      <c r="H9" s="71" t="s">
        <v>361</v>
      </c>
    </row>
    <row r="10" spans="1:8" ht="68" customHeight="1" x14ac:dyDescent="0.2">
      <c r="A10" s="51" t="s">
        <v>362</v>
      </c>
      <c r="B10" s="51" t="s">
        <v>115</v>
      </c>
      <c r="C10" s="51" t="s">
        <v>363</v>
      </c>
      <c r="D10" s="52"/>
      <c r="E10" s="52"/>
      <c r="F10" s="64" t="str">
        <f t="shared" si="0"/>
        <v/>
      </c>
      <c r="G10" s="52"/>
      <c r="H10" s="71" t="s">
        <v>364</v>
      </c>
    </row>
    <row r="11" spans="1:8" ht="102" customHeight="1" x14ac:dyDescent="0.2">
      <c r="A11" s="51" t="s">
        <v>365</v>
      </c>
      <c r="B11" s="51" t="s">
        <v>135</v>
      </c>
      <c r="C11" s="51" t="s">
        <v>366</v>
      </c>
      <c r="D11" s="52"/>
      <c r="E11" s="52"/>
      <c r="F11" s="64" t="str">
        <f t="shared" si="0"/>
        <v/>
      </c>
      <c r="G11" s="52"/>
      <c r="H11" s="71" t="s">
        <v>367</v>
      </c>
    </row>
    <row r="12" spans="1:8" ht="85" customHeight="1" x14ac:dyDescent="0.2">
      <c r="A12" s="51" t="s">
        <v>368</v>
      </c>
      <c r="B12" s="51" t="s">
        <v>369</v>
      </c>
      <c r="C12" s="51" t="s">
        <v>370</v>
      </c>
      <c r="D12" s="52"/>
      <c r="E12" s="52"/>
      <c r="F12" s="64" t="str">
        <f t="shared" si="0"/>
        <v/>
      </c>
      <c r="G12" s="52"/>
      <c r="H12" s="71" t="s">
        <v>371</v>
      </c>
    </row>
    <row r="13" spans="1:8" ht="68" customHeight="1" x14ac:dyDescent="0.2">
      <c r="A13" s="51" t="s">
        <v>372</v>
      </c>
      <c r="B13" s="51" t="s">
        <v>373</v>
      </c>
      <c r="C13" s="51" t="s">
        <v>374</v>
      </c>
      <c r="D13" s="52"/>
      <c r="E13" s="52"/>
      <c r="F13" s="64" t="str">
        <f t="shared" si="0"/>
        <v/>
      </c>
      <c r="G13" s="52"/>
      <c r="H13" s="71" t="s">
        <v>375</v>
      </c>
    </row>
    <row r="14" spans="1:8" ht="85" customHeight="1" x14ac:dyDescent="0.2">
      <c r="A14" s="51" t="s">
        <v>376</v>
      </c>
      <c r="B14" s="51" t="s">
        <v>377</v>
      </c>
      <c r="C14" s="51" t="s">
        <v>378</v>
      </c>
      <c r="D14" s="52"/>
      <c r="E14" s="52"/>
      <c r="F14" s="64" t="str">
        <f t="shared" si="0"/>
        <v/>
      </c>
      <c r="G14" s="52"/>
      <c r="H14" s="71" t="s">
        <v>379</v>
      </c>
    </row>
    <row r="15" spans="1:8" ht="102" customHeight="1" x14ac:dyDescent="0.2">
      <c r="A15" s="51" t="s">
        <v>380</v>
      </c>
      <c r="B15" s="51" t="s">
        <v>381</v>
      </c>
      <c r="C15" s="51" t="s">
        <v>382</v>
      </c>
      <c r="D15" s="52"/>
      <c r="E15" s="52"/>
      <c r="F15" s="64" t="str">
        <f t="shared" si="0"/>
        <v/>
      </c>
      <c r="G15" s="52"/>
      <c r="H15" s="71" t="s">
        <v>383</v>
      </c>
    </row>
    <row r="16" spans="1:8" ht="68" customHeight="1" x14ac:dyDescent="0.2">
      <c r="A16" s="51" t="s">
        <v>384</v>
      </c>
      <c r="B16" s="51" t="s">
        <v>385</v>
      </c>
      <c r="C16" s="51" t="s">
        <v>386</v>
      </c>
      <c r="D16" s="52"/>
      <c r="E16" s="52"/>
      <c r="F16" s="64" t="str">
        <f t="shared" si="0"/>
        <v/>
      </c>
      <c r="G16" s="52"/>
      <c r="H16" s="71" t="s">
        <v>387</v>
      </c>
    </row>
    <row r="18" spans="1:8" ht="17" customHeight="1" x14ac:dyDescent="0.2">
      <c r="A18" s="72" t="s">
        <v>388</v>
      </c>
      <c r="B18" s="48"/>
      <c r="C18" s="48"/>
      <c r="D18" s="48"/>
      <c r="E18" s="48"/>
      <c r="F18" s="48"/>
      <c r="G18" s="48"/>
      <c r="H18" s="48"/>
    </row>
    <row r="19" spans="1:8" x14ac:dyDescent="0.2">
      <c r="A19" s="65" t="s">
        <v>389</v>
      </c>
      <c r="B19" s="73" t="str">
        <f>IF(COUNT(F7:F16)=0, "Incomplete", INDEX(B7:B16, MATCH(MAX(F7:F16), F7:F16, 0)))</f>
        <v>Incomplete</v>
      </c>
      <c r="C19" s="73"/>
      <c r="D19" s="73"/>
      <c r="E19" s="73"/>
      <c r="F19" s="73"/>
      <c r="G19" s="73"/>
      <c r="H19" s="73"/>
    </row>
    <row r="20" spans="1:8" x14ac:dyDescent="0.2">
      <c r="A20" s="65" t="s">
        <v>390</v>
      </c>
      <c r="B20" s="73" t="str">
        <f>IF(COUNT(F7:F16)&lt;2, "Incomplete", INDEX(B7:B16, MATCH(LARGE(F7:F16, 2), F7:F16, 0)))</f>
        <v>Incomplete</v>
      </c>
      <c r="C20" s="73"/>
      <c r="D20" s="73"/>
      <c r="E20" s="73"/>
      <c r="F20" s="73"/>
      <c r="G20" s="73"/>
      <c r="H20" s="73"/>
    </row>
    <row r="21" spans="1:8" x14ac:dyDescent="0.2">
      <c r="A21" s="65" t="s">
        <v>391</v>
      </c>
      <c r="B21" s="73" t="str">
        <f>IF(IF($B$22&lt;&gt;"",$B$22,$B$19)="Fragmentation / scale", "Model 1: Aggregation and Warehouse Platforms", IF(OR(IF($B$22&lt;&gt;"",$B$22,$B$19)="Project preparation", IF($B$22&lt;&gt;"",$B$22,$B$19)="Risk allocation", IF($B$22&lt;&gt;"",$B$22,$B$19)="Payment credibility"), "Model 2: Integrated Project Preparation + Guarantee Platforms", IF(OR(IF($B$22&lt;&gt;"",$B$22,$B$19)="Delivery capacity", IF($B$22&lt;&gt;"",$B$22,$B$19)="Legitimacy and adoption"), "Model 3: Predictable Delivery Networks", "Strengthen foundations before model selection")))</f>
        <v>Strengthen foundations before model selection</v>
      </c>
      <c r="C21" s="73"/>
      <c r="D21" s="73"/>
      <c r="E21" s="73"/>
      <c r="F21" s="73"/>
      <c r="G21" s="73"/>
      <c r="H21" s="73"/>
    </row>
    <row r="22" spans="1:8" ht="17" x14ac:dyDescent="0.2">
      <c r="A22" s="74" t="s">
        <v>392</v>
      </c>
      <c r="B22" s="75"/>
      <c r="C22" s="76"/>
      <c r="D22" s="76"/>
      <c r="E22" s="76"/>
      <c r="F22" s="76"/>
      <c r="G22" s="76"/>
      <c r="H22" s="77"/>
    </row>
    <row r="23" spans="1:8" ht="36" customHeight="1" x14ac:dyDescent="0.2">
      <c r="A23" s="74" t="s">
        <v>393</v>
      </c>
      <c r="B23" s="75"/>
      <c r="C23" s="39"/>
      <c r="D23" s="39"/>
      <c r="E23" s="39"/>
      <c r="F23" s="39"/>
      <c r="G23" s="39"/>
      <c r="H23" s="39"/>
    </row>
    <row r="25" spans="1:8" x14ac:dyDescent="0.2">
      <c r="A25" s="27" t="s">
        <v>394</v>
      </c>
      <c r="B25" s="25"/>
      <c r="C25" s="25"/>
      <c r="D25" s="25"/>
      <c r="E25" s="25"/>
      <c r="F25" s="25"/>
      <c r="G25" s="25"/>
      <c r="H25" s="25"/>
    </row>
    <row r="26" spans="1:8" ht="50" customHeight="1" x14ac:dyDescent="0.2">
      <c r="A26" s="67" t="s">
        <v>354</v>
      </c>
      <c r="B26" s="67" t="s">
        <v>355</v>
      </c>
      <c r="C26" s="67"/>
      <c r="D26" s="67">
        <v>5</v>
      </c>
      <c r="E26" s="67">
        <v>5</v>
      </c>
      <c r="F26" s="67">
        <v>25</v>
      </c>
      <c r="G26" s="67" t="s">
        <v>395</v>
      </c>
      <c r="H26" s="67" t="s">
        <v>357</v>
      </c>
    </row>
    <row r="27" spans="1:8" ht="50" customHeight="1" x14ac:dyDescent="0.2">
      <c r="A27" s="67" t="s">
        <v>372</v>
      </c>
      <c r="B27" s="67" t="s">
        <v>373</v>
      </c>
      <c r="C27" s="67"/>
      <c r="D27" s="67">
        <v>3</v>
      </c>
      <c r="E27" s="67">
        <v>2</v>
      </c>
      <c r="F27" s="67">
        <v>6</v>
      </c>
      <c r="G27" s="67" t="s">
        <v>396</v>
      </c>
      <c r="H27" s="67" t="s">
        <v>375</v>
      </c>
    </row>
    <row r="28" spans="1:8" ht="36" customHeight="1" x14ac:dyDescent="0.2">
      <c r="A28" s="68" t="s">
        <v>397</v>
      </c>
      <c r="B28" s="69"/>
      <c r="C28" s="69"/>
      <c r="D28" s="69"/>
      <c r="E28" s="69"/>
      <c r="F28" s="69"/>
      <c r="G28" s="69"/>
      <c r="H28" s="69"/>
    </row>
  </sheetData>
  <mergeCells count="7">
    <mergeCell ref="A28:H28"/>
    <mergeCell ref="A1:H2"/>
    <mergeCell ref="A3:H4"/>
    <mergeCell ref="A5:H5"/>
    <mergeCell ref="B22:H22"/>
    <mergeCell ref="B23:H23"/>
    <mergeCell ref="A25:H25"/>
  </mergeCells>
  <dataValidations count="3">
    <dataValidation type="list" allowBlank="1" showInputMessage="1" showErrorMessage="1" promptTitle="Confirm the constraint" prompt="Pick the constraint that passes the test: if it were resolved, would the opportunity materially move closer to execution?" sqref="B22" xr:uid="{CB00B2B5-3EAE-5B46-8A9A-34B3C6C00095}">
      <formula1>$B$7:$B$16</formula1>
    </dataValidation>
    <dataValidation type="whole" allowBlank="1" showInputMessage="1" showErrorMessage="1" errorTitle="Score 1 to 5" error="Enter a whole number from 1 to 5, or leave blank if there is no evidence." promptTitle="Immediacy 1-5" prompt="1 Matters only at scale (24+ months)_x000a_2 Within 12-24 months_x000a_3 Within 6-12 months_x000a_4 Within 3-6 months_x000a_5 Blocks the next decision now (0-90 days)" sqref="E7:E16" xr:uid="{BAB8B876-B4CD-A746-9A62-E3D53E2807BD}">
      <formula1>1</formula1>
      <formula2>5</formula2>
    </dataValidation>
    <dataValidation type="whole" allowBlank="1" showInputMessage="1" showErrorMessage="1" errorTitle="Score 1 to 5" error="Enter a whole number from 1 to 5, or leave blank if there is no evidence." promptTitle="Severity 1-5" prompt="1 Minor friction, workaround exists_x000a_2 Adds cost/delay, design unchanged_x000a_3 Materially weakens the case_x000a_4 Progress only at small scale_x000a_5 Cannot proceed until resolved" sqref="D7:D16" xr:uid="{6B680909-0A1F-5A4C-B37A-C78C412F5006}">
      <formula1>1</formula1>
      <formula2>5</formula2>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8E048-0736-434B-BB74-8BC152BF44CE}">
  <sheetPr>
    <tabColor theme="7"/>
  </sheetPr>
  <dimension ref="A1:L37"/>
  <sheetViews>
    <sheetView workbookViewId="0">
      <pane xSplit="1" ySplit="6" topLeftCell="B7" activePane="bottomRight" state="frozen"/>
      <selection activeCell="C59" sqref="C59"/>
      <selection pane="topRight" activeCell="C59" sqref="C59"/>
      <selection pane="bottomLeft" activeCell="C59" sqref="C59"/>
      <selection pane="bottomRight" activeCell="C59" sqref="C59"/>
    </sheetView>
  </sheetViews>
  <sheetFormatPr baseColWidth="10" defaultRowHeight="16" x14ac:dyDescent="0.2"/>
  <cols>
    <col min="1" max="1" width="40.33203125" bestFit="1" customWidth="1"/>
    <col min="2" max="2" width="18.83203125" customWidth="1"/>
    <col min="3" max="3" width="31.83203125" customWidth="1"/>
    <col min="8" max="8" width="16.5" customWidth="1"/>
    <col min="9" max="9" width="36.33203125" customWidth="1"/>
    <col min="11" max="11" width="37.6640625" customWidth="1"/>
    <col min="12" max="12" width="28.5" customWidth="1"/>
  </cols>
  <sheetData>
    <row r="1" spans="1:12" x14ac:dyDescent="0.2">
      <c r="A1" s="1" t="s">
        <v>398</v>
      </c>
      <c r="B1" s="2"/>
      <c r="C1" s="2"/>
      <c r="D1" s="2"/>
      <c r="E1" s="2"/>
      <c r="F1" s="2"/>
      <c r="G1" s="2"/>
      <c r="H1" s="2"/>
      <c r="I1" s="2"/>
      <c r="J1" s="2"/>
      <c r="K1" s="2"/>
      <c r="L1" s="2"/>
    </row>
    <row r="2" spans="1:12" x14ac:dyDescent="0.2">
      <c r="A2" s="2"/>
      <c r="B2" s="2"/>
      <c r="C2" s="2"/>
      <c r="D2" s="2"/>
      <c r="E2" s="2"/>
      <c r="F2" s="2"/>
      <c r="G2" s="2"/>
      <c r="H2" s="2"/>
      <c r="I2" s="2"/>
      <c r="J2" s="2"/>
      <c r="K2" s="2"/>
      <c r="L2" s="2"/>
    </row>
    <row r="3" spans="1:12" ht="30" customHeight="1" x14ac:dyDescent="0.2">
      <c r="A3" s="70" t="s">
        <v>399</v>
      </c>
      <c r="B3" s="2"/>
      <c r="C3" s="2"/>
      <c r="D3" s="2"/>
      <c r="E3" s="2"/>
      <c r="F3" s="2"/>
      <c r="G3" s="2"/>
      <c r="H3" s="2"/>
      <c r="I3" s="2"/>
      <c r="J3" s="2"/>
      <c r="K3" s="2"/>
      <c r="L3" s="2"/>
    </row>
    <row r="4" spans="1:12" ht="30" customHeight="1" x14ac:dyDescent="0.2">
      <c r="A4" s="2"/>
      <c r="B4" s="2"/>
      <c r="C4" s="2"/>
      <c r="D4" s="2"/>
      <c r="E4" s="2"/>
      <c r="F4" s="2"/>
      <c r="G4" s="2"/>
      <c r="H4" s="2"/>
      <c r="I4" s="2"/>
      <c r="J4" s="2"/>
      <c r="K4" s="2"/>
      <c r="L4" s="2"/>
    </row>
    <row r="5" spans="1:12" ht="78" customHeight="1" x14ac:dyDescent="0.2">
      <c r="A5" s="44" t="s">
        <v>400</v>
      </c>
      <c r="B5" s="22"/>
      <c r="C5" s="22"/>
      <c r="D5" s="22"/>
      <c r="E5" s="22"/>
      <c r="F5" s="22"/>
      <c r="G5" s="22"/>
      <c r="H5" s="22"/>
      <c r="I5" s="22"/>
      <c r="J5" s="22"/>
      <c r="K5" s="22"/>
      <c r="L5" s="22"/>
    </row>
    <row r="6" spans="1:12" ht="34" customHeight="1" x14ac:dyDescent="0.2">
      <c r="A6" s="78" t="s">
        <v>401</v>
      </c>
      <c r="B6" s="78" t="s">
        <v>402</v>
      </c>
      <c r="C6" s="78" t="s">
        <v>403</v>
      </c>
      <c r="D6" s="78" t="s">
        <v>404</v>
      </c>
      <c r="E6" s="78" t="s">
        <v>405</v>
      </c>
      <c r="F6" s="78" t="s">
        <v>406</v>
      </c>
      <c r="G6" s="78" t="s">
        <v>407</v>
      </c>
      <c r="H6" s="78" t="s">
        <v>408</v>
      </c>
      <c r="I6" s="78" t="s">
        <v>409</v>
      </c>
      <c r="J6" s="78" t="s">
        <v>410</v>
      </c>
      <c r="K6" s="78" t="s">
        <v>411</v>
      </c>
      <c r="L6" s="78" t="s">
        <v>412</v>
      </c>
    </row>
    <row r="7" spans="1:12" x14ac:dyDescent="0.2">
      <c r="A7" s="79"/>
      <c r="B7" s="79"/>
      <c r="C7" s="79"/>
      <c r="D7" s="79"/>
      <c r="E7" s="79"/>
      <c r="F7" s="79"/>
      <c r="G7" s="79"/>
      <c r="H7" s="79"/>
      <c r="I7" s="79"/>
      <c r="J7" s="80" t="str">
        <f t="shared" ref="J7:J26" si="0">IF(COUNT(D7:I7)=0, "", AVERAGE(D7:I7))</f>
        <v/>
      </c>
      <c r="K7" s="79"/>
      <c r="L7" s="79"/>
    </row>
    <row r="8" spans="1:12" x14ac:dyDescent="0.2">
      <c r="A8" s="79"/>
      <c r="B8" s="79"/>
      <c r="C8" s="79"/>
      <c r="D8" s="79"/>
      <c r="E8" s="79"/>
      <c r="F8" s="79"/>
      <c r="G8" s="79"/>
      <c r="H8" s="79"/>
      <c r="I8" s="79"/>
      <c r="J8" s="80" t="str">
        <f t="shared" si="0"/>
        <v/>
      </c>
      <c r="K8" s="79"/>
      <c r="L8" s="79"/>
    </row>
    <row r="9" spans="1:12" x14ac:dyDescent="0.2">
      <c r="A9" s="79"/>
      <c r="B9" s="79"/>
      <c r="C9" s="79"/>
      <c r="D9" s="79"/>
      <c r="E9" s="79"/>
      <c r="F9" s="79"/>
      <c r="G9" s="79"/>
      <c r="H9" s="79"/>
      <c r="I9" s="79"/>
      <c r="J9" s="80" t="str">
        <f t="shared" si="0"/>
        <v/>
      </c>
      <c r="K9" s="79"/>
      <c r="L9" s="79"/>
    </row>
    <row r="10" spans="1:12" x14ac:dyDescent="0.2">
      <c r="A10" s="79"/>
      <c r="B10" s="79"/>
      <c r="C10" s="79"/>
      <c r="D10" s="79"/>
      <c r="E10" s="79"/>
      <c r="F10" s="79"/>
      <c r="G10" s="79"/>
      <c r="H10" s="79"/>
      <c r="I10" s="79"/>
      <c r="J10" s="80" t="str">
        <f t="shared" si="0"/>
        <v/>
      </c>
      <c r="K10" s="79"/>
      <c r="L10" s="79"/>
    </row>
    <row r="11" spans="1:12" x14ac:dyDescent="0.2">
      <c r="A11" s="79"/>
      <c r="B11" s="79"/>
      <c r="C11" s="79"/>
      <c r="D11" s="79"/>
      <c r="E11" s="79"/>
      <c r="F11" s="79"/>
      <c r="G11" s="79"/>
      <c r="H11" s="79"/>
      <c r="I11" s="79"/>
      <c r="J11" s="80" t="str">
        <f t="shared" si="0"/>
        <v/>
      </c>
      <c r="K11" s="79"/>
      <c r="L11" s="79"/>
    </row>
    <row r="12" spans="1:12" x14ac:dyDescent="0.2">
      <c r="A12" s="79"/>
      <c r="B12" s="79"/>
      <c r="C12" s="79"/>
      <c r="D12" s="79"/>
      <c r="E12" s="79"/>
      <c r="F12" s="79"/>
      <c r="G12" s="79"/>
      <c r="H12" s="79"/>
      <c r="I12" s="79"/>
      <c r="J12" s="80" t="str">
        <f t="shared" si="0"/>
        <v/>
      </c>
      <c r="K12" s="79"/>
      <c r="L12" s="79"/>
    </row>
    <row r="13" spans="1:12" x14ac:dyDescent="0.2">
      <c r="A13" s="79"/>
      <c r="B13" s="79"/>
      <c r="C13" s="79"/>
      <c r="D13" s="79"/>
      <c r="E13" s="79"/>
      <c r="F13" s="79"/>
      <c r="G13" s="79"/>
      <c r="H13" s="79"/>
      <c r="I13" s="79"/>
      <c r="J13" s="80" t="str">
        <f t="shared" si="0"/>
        <v/>
      </c>
      <c r="K13" s="79"/>
      <c r="L13" s="79"/>
    </row>
    <row r="14" spans="1:12" x14ac:dyDescent="0.2">
      <c r="A14" s="79"/>
      <c r="B14" s="79"/>
      <c r="C14" s="79"/>
      <c r="D14" s="79"/>
      <c r="E14" s="79"/>
      <c r="F14" s="79"/>
      <c r="G14" s="79"/>
      <c r="H14" s="79"/>
      <c r="I14" s="79"/>
      <c r="J14" s="80" t="str">
        <f t="shared" si="0"/>
        <v/>
      </c>
      <c r="K14" s="79"/>
      <c r="L14" s="79"/>
    </row>
    <row r="15" spans="1:12" x14ac:dyDescent="0.2">
      <c r="A15" s="79"/>
      <c r="B15" s="79"/>
      <c r="C15" s="79"/>
      <c r="D15" s="79"/>
      <c r="E15" s="79"/>
      <c r="F15" s="79"/>
      <c r="G15" s="79"/>
      <c r="H15" s="79"/>
      <c r="I15" s="79"/>
      <c r="J15" s="80" t="str">
        <f t="shared" si="0"/>
        <v/>
      </c>
      <c r="K15" s="79"/>
      <c r="L15" s="79"/>
    </row>
    <row r="16" spans="1:12" x14ac:dyDescent="0.2">
      <c r="A16" s="79"/>
      <c r="B16" s="79"/>
      <c r="C16" s="79"/>
      <c r="D16" s="79"/>
      <c r="E16" s="79"/>
      <c r="F16" s="79"/>
      <c r="G16" s="79"/>
      <c r="H16" s="79"/>
      <c r="I16" s="79"/>
      <c r="J16" s="80" t="str">
        <f t="shared" si="0"/>
        <v/>
      </c>
      <c r="K16" s="79"/>
      <c r="L16" s="79"/>
    </row>
    <row r="17" spans="1:12" x14ac:dyDescent="0.2">
      <c r="A17" s="79"/>
      <c r="B17" s="79"/>
      <c r="C17" s="79"/>
      <c r="D17" s="79"/>
      <c r="E17" s="79"/>
      <c r="F17" s="79"/>
      <c r="G17" s="79"/>
      <c r="H17" s="79"/>
      <c r="I17" s="79"/>
      <c r="J17" s="80" t="str">
        <f t="shared" si="0"/>
        <v/>
      </c>
      <c r="K17" s="79"/>
      <c r="L17" s="79"/>
    </row>
    <row r="18" spans="1:12" x14ac:dyDescent="0.2">
      <c r="A18" s="79"/>
      <c r="B18" s="79"/>
      <c r="C18" s="79"/>
      <c r="D18" s="79"/>
      <c r="E18" s="79"/>
      <c r="F18" s="79"/>
      <c r="G18" s="79"/>
      <c r="H18" s="79"/>
      <c r="I18" s="79"/>
      <c r="J18" s="80" t="str">
        <f t="shared" si="0"/>
        <v/>
      </c>
      <c r="K18" s="79"/>
      <c r="L18" s="79"/>
    </row>
    <row r="19" spans="1:12" x14ac:dyDescent="0.2">
      <c r="A19" s="79"/>
      <c r="B19" s="79"/>
      <c r="C19" s="79"/>
      <c r="D19" s="79"/>
      <c r="E19" s="79"/>
      <c r="F19" s="79"/>
      <c r="G19" s="79"/>
      <c r="H19" s="79"/>
      <c r="I19" s="79"/>
      <c r="J19" s="80" t="str">
        <f t="shared" si="0"/>
        <v/>
      </c>
      <c r="K19" s="79"/>
      <c r="L19" s="79"/>
    </row>
    <row r="20" spans="1:12" x14ac:dyDescent="0.2">
      <c r="A20" s="79"/>
      <c r="B20" s="79"/>
      <c r="C20" s="79"/>
      <c r="D20" s="79"/>
      <c r="E20" s="79"/>
      <c r="F20" s="79"/>
      <c r="G20" s="79"/>
      <c r="H20" s="79"/>
      <c r="I20" s="79"/>
      <c r="J20" s="80" t="str">
        <f t="shared" si="0"/>
        <v/>
      </c>
      <c r="K20" s="79"/>
      <c r="L20" s="79"/>
    </row>
    <row r="21" spans="1:12" x14ac:dyDescent="0.2">
      <c r="A21" s="79"/>
      <c r="B21" s="79"/>
      <c r="C21" s="79"/>
      <c r="D21" s="79"/>
      <c r="E21" s="79"/>
      <c r="F21" s="79"/>
      <c r="G21" s="79"/>
      <c r="H21" s="79"/>
      <c r="I21" s="79"/>
      <c r="J21" s="80" t="str">
        <f t="shared" si="0"/>
        <v/>
      </c>
      <c r="K21" s="79"/>
      <c r="L21" s="79"/>
    </row>
    <row r="22" spans="1:12" x14ac:dyDescent="0.2">
      <c r="A22" s="79"/>
      <c r="B22" s="79"/>
      <c r="C22" s="79"/>
      <c r="D22" s="79"/>
      <c r="E22" s="79"/>
      <c r="F22" s="79"/>
      <c r="G22" s="79"/>
      <c r="H22" s="79"/>
      <c r="I22" s="79"/>
      <c r="J22" s="80" t="str">
        <f t="shared" si="0"/>
        <v/>
      </c>
      <c r="K22" s="79"/>
      <c r="L22" s="79"/>
    </row>
    <row r="23" spans="1:12" x14ac:dyDescent="0.2">
      <c r="A23" s="79"/>
      <c r="B23" s="79"/>
      <c r="C23" s="79"/>
      <c r="D23" s="79"/>
      <c r="E23" s="79"/>
      <c r="F23" s="79"/>
      <c r="G23" s="79"/>
      <c r="H23" s="79"/>
      <c r="I23" s="79"/>
      <c r="J23" s="80" t="str">
        <f t="shared" si="0"/>
        <v/>
      </c>
      <c r="K23" s="79"/>
      <c r="L23" s="79"/>
    </row>
    <row r="24" spans="1:12" x14ac:dyDescent="0.2">
      <c r="A24" s="79"/>
      <c r="B24" s="79"/>
      <c r="C24" s="79"/>
      <c r="D24" s="79"/>
      <c r="E24" s="79"/>
      <c r="F24" s="79"/>
      <c r="G24" s="79"/>
      <c r="H24" s="79"/>
      <c r="I24" s="79"/>
      <c r="J24" s="80" t="str">
        <f t="shared" si="0"/>
        <v/>
      </c>
      <c r="K24" s="79"/>
      <c r="L24" s="79"/>
    </row>
    <row r="25" spans="1:12" x14ac:dyDescent="0.2">
      <c r="A25" s="79"/>
      <c r="B25" s="79"/>
      <c r="C25" s="79"/>
      <c r="D25" s="79"/>
      <c r="E25" s="79"/>
      <c r="F25" s="79"/>
      <c r="G25" s="79"/>
      <c r="H25" s="79"/>
      <c r="I25" s="79"/>
      <c r="J25" s="80" t="str">
        <f t="shared" si="0"/>
        <v/>
      </c>
      <c r="K25" s="79"/>
      <c r="L25" s="79"/>
    </row>
    <row r="26" spans="1:12" x14ac:dyDescent="0.2">
      <c r="A26" s="79"/>
      <c r="B26" s="79"/>
      <c r="C26" s="79"/>
      <c r="D26" s="79"/>
      <c r="E26" s="79"/>
      <c r="F26" s="79"/>
      <c r="G26" s="79"/>
      <c r="H26" s="79"/>
      <c r="I26" s="79"/>
      <c r="J26" s="80" t="str">
        <f t="shared" si="0"/>
        <v/>
      </c>
      <c r="K26" s="79"/>
      <c r="L26" s="79"/>
    </row>
    <row r="28" spans="1:12" x14ac:dyDescent="0.2">
      <c r="A28" s="81" t="s">
        <v>413</v>
      </c>
      <c r="B28" s="2"/>
      <c r="C28" s="2"/>
      <c r="D28" s="2"/>
      <c r="E28" s="2"/>
      <c r="F28" s="2"/>
      <c r="G28" s="2"/>
      <c r="H28" s="2"/>
      <c r="I28" s="2"/>
      <c r="J28" s="2"/>
      <c r="K28" s="2"/>
      <c r="L28" s="2"/>
    </row>
    <row r="29" spans="1:12" x14ac:dyDescent="0.2">
      <c r="A29" s="65" t="s">
        <v>414</v>
      </c>
      <c r="B29" s="82" t="str">
        <f>IF(COUNT(J7:J26)=0, "Incomplete", INDEX(A7:A26, MATCH(MAX(J7:J26), J7:J26, 0)))</f>
        <v>Incomplete</v>
      </c>
      <c r="C29" s="83"/>
      <c r="D29" s="83"/>
      <c r="E29" s="83"/>
      <c r="F29" s="83"/>
      <c r="G29" s="83"/>
      <c r="H29" s="83"/>
      <c r="I29" s="83"/>
      <c r="J29" s="83"/>
      <c r="K29" s="83"/>
      <c r="L29" s="83"/>
    </row>
    <row r="30" spans="1:12" x14ac:dyDescent="0.2">
      <c r="A30" s="65" t="s">
        <v>415</v>
      </c>
      <c r="B30" s="84"/>
      <c r="C30" s="39"/>
      <c r="D30" s="39"/>
      <c r="E30" s="39"/>
      <c r="F30" s="39"/>
      <c r="G30" s="39"/>
      <c r="H30" s="39"/>
      <c r="I30" s="39"/>
      <c r="J30" s="39"/>
      <c r="K30" s="39"/>
      <c r="L30" s="39"/>
    </row>
    <row r="31" spans="1:12" x14ac:dyDescent="0.2">
      <c r="A31" s="65" t="s">
        <v>416</v>
      </c>
      <c r="B31" s="84"/>
      <c r="C31" s="39"/>
      <c r="D31" s="39"/>
      <c r="E31" s="39"/>
      <c r="F31" s="39"/>
      <c r="G31" s="39"/>
      <c r="H31" s="39"/>
      <c r="I31" s="39"/>
      <c r="J31" s="39"/>
      <c r="K31" s="39"/>
      <c r="L31" s="39"/>
    </row>
    <row r="32" spans="1:12" x14ac:dyDescent="0.2">
      <c r="A32" s="65" t="s">
        <v>417</v>
      </c>
      <c r="B32" s="84"/>
      <c r="C32" s="39"/>
      <c r="D32" s="39"/>
      <c r="E32" s="39"/>
      <c r="F32" s="39"/>
      <c r="G32" s="39"/>
      <c r="H32" s="39"/>
      <c r="I32" s="39"/>
      <c r="J32" s="39"/>
      <c r="K32" s="39"/>
      <c r="L32" s="39"/>
    </row>
    <row r="33" spans="1:12" x14ac:dyDescent="0.2">
      <c r="A33" s="65" t="s">
        <v>418</v>
      </c>
      <c r="B33" s="84"/>
      <c r="C33" s="39"/>
      <c r="D33" s="39"/>
      <c r="E33" s="39"/>
      <c r="F33" s="39"/>
      <c r="G33" s="39"/>
      <c r="H33" s="39"/>
      <c r="I33" s="39"/>
      <c r="J33" s="39"/>
      <c r="K33" s="39"/>
      <c r="L33" s="39"/>
    </row>
    <row r="35" spans="1:12" x14ac:dyDescent="0.2">
      <c r="A35" s="27" t="s">
        <v>394</v>
      </c>
      <c r="B35" s="25"/>
      <c r="C35" s="25"/>
      <c r="D35" s="25"/>
      <c r="E35" s="25"/>
      <c r="F35" s="25"/>
      <c r="G35" s="25"/>
      <c r="H35" s="25"/>
      <c r="I35" s="25"/>
      <c r="J35" s="25"/>
      <c r="K35" s="25"/>
      <c r="L35" s="25"/>
    </row>
    <row r="36" spans="1:12" ht="50" customHeight="1" x14ac:dyDescent="0.2">
      <c r="A36" s="67" t="s">
        <v>419</v>
      </c>
      <c r="B36" s="67" t="s">
        <v>420</v>
      </c>
      <c r="C36" s="67" t="s">
        <v>421</v>
      </c>
      <c r="D36" s="67">
        <v>5</v>
      </c>
      <c r="E36" s="67">
        <v>4</v>
      </c>
      <c r="F36" s="67">
        <v>4</v>
      </c>
      <c r="G36" s="67">
        <v>2</v>
      </c>
      <c r="H36" s="67">
        <v>4</v>
      </c>
      <c r="I36" s="67">
        <v>2</v>
      </c>
      <c r="J36" s="67">
        <v>3.5</v>
      </c>
      <c r="K36" s="67" t="s">
        <v>422</v>
      </c>
      <c r="L36" s="67" t="s">
        <v>423</v>
      </c>
    </row>
    <row r="37" spans="1:12" ht="50" customHeight="1" x14ac:dyDescent="0.2">
      <c r="A37" s="67" t="s">
        <v>424</v>
      </c>
      <c r="B37" s="67" t="s">
        <v>425</v>
      </c>
      <c r="C37" s="67" t="s">
        <v>426</v>
      </c>
      <c r="D37" s="67">
        <v>3</v>
      </c>
      <c r="E37" s="67">
        <v>5</v>
      </c>
      <c r="F37" s="67">
        <v>2</v>
      </c>
      <c r="G37" s="67">
        <v>3</v>
      </c>
      <c r="H37" s="67">
        <v>5</v>
      </c>
      <c r="I37" s="67">
        <v>1</v>
      </c>
      <c r="J37" s="67">
        <v>3.2</v>
      </c>
      <c r="K37" s="67" t="s">
        <v>427</v>
      </c>
      <c r="L37" s="67" t="s">
        <v>428</v>
      </c>
    </row>
  </sheetData>
  <mergeCells count="10">
    <mergeCell ref="B31:L31"/>
    <mergeCell ref="B32:L32"/>
    <mergeCell ref="B33:L33"/>
    <mergeCell ref="A35:L35"/>
    <mergeCell ref="A1:L2"/>
    <mergeCell ref="A3:L4"/>
    <mergeCell ref="A5:L5"/>
    <mergeCell ref="A28:L28"/>
    <mergeCell ref="B29:L29"/>
    <mergeCell ref="B30:L30"/>
  </mergeCells>
  <dataValidations count="1">
    <dataValidation type="whole" allowBlank="1" showInputMessage="1" showErrorMessage="1" errorTitle="Score 1 to 5" error="Enter a whole number from 1 to 5, or leave blank if there is no evidence." promptTitle="Actor score 1-5" prompt="1 Absent, or works against the opportunity_x000a_2 Weak or unproven_x000a_3 Partial or conditional_x000a_4 Clear and evidenced_x000a_5 Demonstrated and documented_x000a_Definitions: row 5" sqref="D7:I26" xr:uid="{F47457B2-AE69-2847-B79B-C9CF7D811406}">
      <formula1>1</formula1>
      <formula2>5</formula2>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17A5-16DA-E74C-9B68-77DFD32554AE}">
  <sheetPr>
    <tabColor theme="7"/>
  </sheetPr>
  <dimension ref="A1:L45"/>
  <sheetViews>
    <sheetView workbookViewId="0">
      <pane ySplit="6" topLeftCell="A26" activePane="bottomLeft" state="frozen"/>
      <selection activeCell="C59" sqref="C59"/>
      <selection pane="bottomLeft" activeCell="C59" sqref="C59"/>
    </sheetView>
  </sheetViews>
  <sheetFormatPr baseColWidth="10" defaultRowHeight="16" x14ac:dyDescent="0.2"/>
  <cols>
    <col min="1" max="1" width="48.5" customWidth="1"/>
    <col min="2" max="2" width="33.6640625" customWidth="1"/>
    <col min="3" max="3" width="29.6640625" customWidth="1"/>
    <col min="4" max="4" width="37.83203125" customWidth="1"/>
    <col min="5" max="6" width="30.33203125" customWidth="1"/>
    <col min="7" max="7" width="81.33203125" customWidth="1"/>
  </cols>
  <sheetData>
    <row r="1" spans="1:12" x14ac:dyDescent="0.2">
      <c r="A1" s="1" t="s">
        <v>429</v>
      </c>
      <c r="B1" s="2"/>
      <c r="C1" s="2"/>
      <c r="D1" s="2"/>
      <c r="E1" s="2"/>
      <c r="F1" s="2"/>
      <c r="G1" s="2"/>
      <c r="H1" s="85"/>
      <c r="I1" s="85"/>
      <c r="J1" s="85"/>
      <c r="K1" s="85"/>
      <c r="L1" s="85"/>
    </row>
    <row r="2" spans="1:12" x14ac:dyDescent="0.2">
      <c r="A2" s="2"/>
      <c r="B2" s="2"/>
      <c r="C2" s="2"/>
      <c r="D2" s="2"/>
      <c r="E2" s="2"/>
      <c r="F2" s="2"/>
      <c r="G2" s="2"/>
      <c r="H2" s="85"/>
      <c r="I2" s="85"/>
      <c r="J2" s="85"/>
      <c r="K2" s="85"/>
      <c r="L2" s="85"/>
    </row>
    <row r="3" spans="1:12" ht="30" customHeight="1" x14ac:dyDescent="0.2">
      <c r="A3" s="70" t="s">
        <v>430</v>
      </c>
      <c r="B3" s="2"/>
      <c r="C3" s="2"/>
      <c r="D3" s="2"/>
      <c r="E3" s="2"/>
      <c r="F3" s="2"/>
      <c r="G3" s="2"/>
      <c r="H3" s="20"/>
      <c r="I3" s="20"/>
      <c r="J3" s="20"/>
      <c r="K3" s="20"/>
      <c r="L3" s="20"/>
    </row>
    <row r="4" spans="1:12" ht="30" customHeight="1" x14ac:dyDescent="0.2">
      <c r="A4" s="2"/>
      <c r="B4" s="2"/>
      <c r="C4" s="2"/>
      <c r="D4" s="2"/>
      <c r="E4" s="2"/>
      <c r="F4" s="2"/>
      <c r="G4" s="2"/>
      <c r="H4" s="20"/>
      <c r="I4" s="20"/>
      <c r="J4" s="20"/>
      <c r="K4" s="20"/>
      <c r="L4" s="20"/>
    </row>
    <row r="5" spans="1:12" ht="64" customHeight="1" x14ac:dyDescent="0.2">
      <c r="A5" s="44" t="s">
        <v>431</v>
      </c>
      <c r="B5" s="22"/>
      <c r="C5" s="22"/>
      <c r="D5" s="22"/>
      <c r="E5" s="22"/>
      <c r="F5" s="22"/>
      <c r="G5" s="22"/>
    </row>
    <row r="6" spans="1:12" ht="17" customHeight="1" x14ac:dyDescent="0.2">
      <c r="A6" s="78" t="s">
        <v>44</v>
      </c>
      <c r="B6" s="78" t="s">
        <v>432</v>
      </c>
      <c r="C6" s="78" t="s">
        <v>433</v>
      </c>
      <c r="D6" s="78" t="s">
        <v>434</v>
      </c>
      <c r="E6" s="78" t="s">
        <v>435</v>
      </c>
      <c r="F6" s="78" t="s">
        <v>436</v>
      </c>
      <c r="G6" s="78" t="s">
        <v>437</v>
      </c>
    </row>
    <row r="7" spans="1:12" ht="34" customHeight="1" x14ac:dyDescent="0.2">
      <c r="A7" s="86" t="s">
        <v>438</v>
      </c>
      <c r="B7" s="51" t="s">
        <v>439</v>
      </c>
      <c r="C7" s="51" t="s">
        <v>440</v>
      </c>
      <c r="D7" s="36"/>
      <c r="E7" s="53"/>
      <c r="F7" s="53"/>
      <c r="G7" s="53"/>
    </row>
    <row r="8" spans="1:12" ht="51" customHeight="1" x14ac:dyDescent="0.2">
      <c r="A8" s="86" t="s">
        <v>441</v>
      </c>
      <c r="B8" s="51" t="s">
        <v>439</v>
      </c>
      <c r="C8" s="51" t="s">
        <v>442</v>
      </c>
      <c r="D8" s="36"/>
      <c r="E8" s="53"/>
      <c r="F8" s="53"/>
      <c r="G8" s="53"/>
    </row>
    <row r="9" spans="1:12" ht="51" customHeight="1" x14ac:dyDescent="0.2">
      <c r="A9" s="86" t="s">
        <v>443</v>
      </c>
      <c r="B9" s="51" t="s">
        <v>439</v>
      </c>
      <c r="C9" s="51" t="s">
        <v>444</v>
      </c>
      <c r="D9" s="36"/>
      <c r="E9" s="53"/>
      <c r="F9" s="53"/>
      <c r="G9" s="53"/>
    </row>
    <row r="10" spans="1:12" ht="51" customHeight="1" x14ac:dyDescent="0.2">
      <c r="A10" s="87" t="s">
        <v>445</v>
      </c>
      <c r="B10" s="51" t="s">
        <v>446</v>
      </c>
      <c r="C10" s="51" t="s">
        <v>447</v>
      </c>
      <c r="D10" s="36"/>
      <c r="E10" s="53"/>
      <c r="F10" s="53"/>
      <c r="G10" s="53"/>
    </row>
    <row r="11" spans="1:12" ht="51" customHeight="1" x14ac:dyDescent="0.2">
      <c r="A11" s="87" t="s">
        <v>448</v>
      </c>
      <c r="B11" s="51" t="s">
        <v>446</v>
      </c>
      <c r="C11" s="51" t="s">
        <v>449</v>
      </c>
      <c r="D11" s="36"/>
      <c r="E11" s="53"/>
      <c r="F11" s="53"/>
      <c r="G11" s="53"/>
    </row>
    <row r="12" spans="1:12" ht="34" customHeight="1" x14ac:dyDescent="0.2">
      <c r="A12" s="87" t="s">
        <v>450</v>
      </c>
      <c r="B12" s="51" t="s">
        <v>446</v>
      </c>
      <c r="C12" s="51" t="s">
        <v>451</v>
      </c>
      <c r="D12" s="36"/>
      <c r="E12" s="53"/>
      <c r="F12" s="53"/>
      <c r="G12" s="53"/>
    </row>
    <row r="13" spans="1:12" ht="51" customHeight="1" x14ac:dyDescent="0.2">
      <c r="A13" s="49" t="s">
        <v>452</v>
      </c>
      <c r="B13" s="51" t="s">
        <v>453</v>
      </c>
      <c r="C13" s="51" t="s">
        <v>454</v>
      </c>
      <c r="D13" s="36"/>
      <c r="E13" s="53"/>
      <c r="F13" s="53"/>
      <c r="G13" s="53"/>
    </row>
    <row r="14" spans="1:12" ht="51" customHeight="1" x14ac:dyDescent="0.2">
      <c r="A14" s="49" t="s">
        <v>455</v>
      </c>
      <c r="B14" s="51" t="s">
        <v>453</v>
      </c>
      <c r="C14" s="51" t="s">
        <v>456</v>
      </c>
      <c r="D14" s="36"/>
      <c r="E14" s="53"/>
      <c r="F14" s="53"/>
      <c r="G14" s="53"/>
    </row>
    <row r="15" spans="1:12" ht="51" customHeight="1" x14ac:dyDescent="0.2">
      <c r="A15" s="49" t="s">
        <v>457</v>
      </c>
      <c r="B15" s="51" t="s">
        <v>453</v>
      </c>
      <c r="C15" s="51" t="s">
        <v>458</v>
      </c>
      <c r="D15" s="36"/>
      <c r="E15" s="53"/>
      <c r="F15" s="53"/>
      <c r="G15" s="53"/>
    </row>
    <row r="16" spans="1:12" ht="34" customHeight="1" x14ac:dyDescent="0.2">
      <c r="A16" s="88" t="s">
        <v>459</v>
      </c>
      <c r="B16" s="51" t="s">
        <v>460</v>
      </c>
      <c r="C16" s="51" t="s">
        <v>461</v>
      </c>
      <c r="D16" s="36"/>
      <c r="E16" s="53"/>
      <c r="F16" s="53"/>
      <c r="G16" s="53"/>
    </row>
    <row r="17" spans="1:7" ht="51" customHeight="1" x14ac:dyDescent="0.2">
      <c r="A17" s="88" t="s">
        <v>462</v>
      </c>
      <c r="B17" s="51" t="s">
        <v>460</v>
      </c>
      <c r="C17" s="51" t="s">
        <v>463</v>
      </c>
      <c r="D17" s="36"/>
      <c r="E17" s="53"/>
      <c r="F17" s="53"/>
      <c r="G17" s="53"/>
    </row>
    <row r="18" spans="1:7" ht="51" customHeight="1" x14ac:dyDescent="0.2">
      <c r="A18" s="88" t="s">
        <v>464</v>
      </c>
      <c r="B18" s="51" t="s">
        <v>460</v>
      </c>
      <c r="C18" s="51" t="s">
        <v>465</v>
      </c>
      <c r="D18" s="36"/>
      <c r="E18" s="53"/>
      <c r="F18" s="53"/>
      <c r="G18" s="53"/>
    </row>
    <row r="19" spans="1:7" ht="51" customHeight="1" x14ac:dyDescent="0.2">
      <c r="A19" s="89" t="s">
        <v>466</v>
      </c>
      <c r="B19" s="51" t="s">
        <v>467</v>
      </c>
      <c r="C19" s="51" t="s">
        <v>468</v>
      </c>
      <c r="D19" s="36"/>
      <c r="E19" s="53"/>
      <c r="F19" s="53"/>
      <c r="G19" s="53"/>
    </row>
    <row r="20" spans="1:7" ht="51" customHeight="1" x14ac:dyDescent="0.2">
      <c r="A20" s="89" t="s">
        <v>469</v>
      </c>
      <c r="B20" s="51" t="s">
        <v>467</v>
      </c>
      <c r="C20" s="51" t="s">
        <v>470</v>
      </c>
      <c r="D20" s="36"/>
      <c r="E20" s="53"/>
      <c r="F20" s="53"/>
      <c r="G20" s="53"/>
    </row>
    <row r="21" spans="1:7" ht="51" customHeight="1" x14ac:dyDescent="0.2">
      <c r="A21" s="89" t="s">
        <v>471</v>
      </c>
      <c r="B21" s="51" t="s">
        <v>467</v>
      </c>
      <c r="C21" s="51" t="s">
        <v>472</v>
      </c>
      <c r="D21" s="36"/>
      <c r="E21" s="53"/>
      <c r="F21" s="53"/>
      <c r="G21" s="53"/>
    </row>
    <row r="22" spans="1:7" ht="51" customHeight="1" x14ac:dyDescent="0.2">
      <c r="A22" s="90" t="s">
        <v>473</v>
      </c>
      <c r="B22" s="51" t="s">
        <v>474</v>
      </c>
      <c r="C22" s="51" t="s">
        <v>475</v>
      </c>
      <c r="D22" s="36"/>
      <c r="E22" s="53"/>
      <c r="F22" s="53"/>
      <c r="G22" s="53"/>
    </row>
    <row r="23" spans="1:7" ht="51" customHeight="1" x14ac:dyDescent="0.2">
      <c r="A23" s="90" t="s">
        <v>476</v>
      </c>
      <c r="B23" s="51" t="s">
        <v>474</v>
      </c>
      <c r="C23" s="51" t="s">
        <v>477</v>
      </c>
      <c r="D23" s="36"/>
      <c r="E23" s="53"/>
      <c r="F23" s="53"/>
      <c r="G23" s="53"/>
    </row>
    <row r="24" spans="1:7" ht="51" customHeight="1" x14ac:dyDescent="0.2">
      <c r="A24" s="90" t="s">
        <v>478</v>
      </c>
      <c r="B24" s="51" t="s">
        <v>474</v>
      </c>
      <c r="C24" s="51" t="s">
        <v>479</v>
      </c>
      <c r="D24" s="36"/>
      <c r="E24" s="53"/>
      <c r="F24" s="53"/>
      <c r="G24" s="53"/>
    </row>
    <row r="25" spans="1:7" ht="51" customHeight="1" x14ac:dyDescent="0.2">
      <c r="A25" s="91" t="s">
        <v>480</v>
      </c>
      <c r="B25" s="51" t="s">
        <v>481</v>
      </c>
      <c r="C25" s="51" t="s">
        <v>482</v>
      </c>
      <c r="D25" s="36"/>
      <c r="E25" s="53"/>
      <c r="F25" s="53"/>
      <c r="G25" s="53"/>
    </row>
    <row r="26" spans="1:7" ht="51" customHeight="1" x14ac:dyDescent="0.2">
      <c r="A26" s="91" t="s">
        <v>483</v>
      </c>
      <c r="B26" s="51" t="s">
        <v>481</v>
      </c>
      <c r="C26" s="51" t="s">
        <v>484</v>
      </c>
      <c r="D26" s="36"/>
      <c r="E26" s="53"/>
      <c r="F26" s="53"/>
      <c r="G26" s="53"/>
    </row>
    <row r="27" spans="1:7" ht="51" customHeight="1" x14ac:dyDescent="0.2">
      <c r="A27" s="91" t="s">
        <v>485</v>
      </c>
      <c r="B27" s="51" t="s">
        <v>481</v>
      </c>
      <c r="C27" s="51" t="s">
        <v>486</v>
      </c>
      <c r="D27" s="36"/>
      <c r="E27" s="53"/>
      <c r="F27" s="53"/>
      <c r="G27" s="53"/>
    </row>
    <row r="29" spans="1:7" x14ac:dyDescent="0.2">
      <c r="A29" s="81" t="s">
        <v>487</v>
      </c>
      <c r="B29" s="2"/>
      <c r="C29" s="2"/>
      <c r="D29" s="2"/>
      <c r="E29" s="2"/>
      <c r="F29" s="2"/>
      <c r="G29" s="2"/>
    </row>
    <row r="30" spans="1:7" ht="31" customHeight="1" x14ac:dyDescent="0.2">
      <c r="A30" s="92" t="s">
        <v>432</v>
      </c>
      <c r="B30" s="92" t="s">
        <v>311</v>
      </c>
      <c r="C30" s="92" t="s">
        <v>313</v>
      </c>
      <c r="D30" s="92" t="s">
        <v>314</v>
      </c>
      <c r="E30" s="92"/>
      <c r="F30" s="92"/>
      <c r="G30" s="92"/>
    </row>
    <row r="31" spans="1:7" x14ac:dyDescent="0.2">
      <c r="A31" s="63" t="s">
        <v>439</v>
      </c>
      <c r="B31" s="93">
        <f>IFERROR(AVERAGE(D7:D9),0)</f>
        <v>0</v>
      </c>
      <c r="C31" s="94">
        <f>COUNT(D7:D9)/3</f>
        <v>0</v>
      </c>
      <c r="D31" s="93" t="str">
        <f t="shared" ref="D31:D37" si="0">IF(B31=0, "Incomplete", IF(B31&lt;2.5, "Red", IF(B31&lt;3.5, "Amber", "Green")))</f>
        <v>Incomplete</v>
      </c>
    </row>
    <row r="32" spans="1:7" x14ac:dyDescent="0.2">
      <c r="A32" s="63" t="s">
        <v>446</v>
      </c>
      <c r="B32" s="93">
        <f>IFERROR(AVERAGE(D10:D12),0)</f>
        <v>0</v>
      </c>
      <c r="C32" s="94">
        <f>COUNT(D10:D12)/3</f>
        <v>0</v>
      </c>
      <c r="D32" s="93" t="str">
        <f t="shared" si="0"/>
        <v>Incomplete</v>
      </c>
    </row>
    <row r="33" spans="1:7" x14ac:dyDescent="0.2">
      <c r="A33" s="63" t="s">
        <v>453</v>
      </c>
      <c r="B33" s="93">
        <f>IFERROR(AVERAGE(D13:D15),0)</f>
        <v>0</v>
      </c>
      <c r="C33" s="94">
        <f>COUNT(D13:D15)/3</f>
        <v>0</v>
      </c>
      <c r="D33" s="93" t="str">
        <f t="shared" si="0"/>
        <v>Incomplete</v>
      </c>
    </row>
    <row r="34" spans="1:7" x14ac:dyDescent="0.2">
      <c r="A34" s="63" t="s">
        <v>460</v>
      </c>
      <c r="B34" s="93">
        <f>IFERROR(AVERAGE(D16:D18),0)</f>
        <v>0</v>
      </c>
      <c r="C34" s="94">
        <f>COUNT(D16:D18)/3</f>
        <v>0</v>
      </c>
      <c r="D34" s="93" t="str">
        <f t="shared" si="0"/>
        <v>Incomplete</v>
      </c>
    </row>
    <row r="35" spans="1:7" x14ac:dyDescent="0.2">
      <c r="A35" s="63" t="s">
        <v>467</v>
      </c>
      <c r="B35" s="93">
        <f>IFERROR(AVERAGE(D19:D21),0)</f>
        <v>0</v>
      </c>
      <c r="C35" s="94">
        <f>COUNT(D19:D21)/3</f>
        <v>0</v>
      </c>
      <c r="D35" s="93" t="str">
        <f t="shared" si="0"/>
        <v>Incomplete</v>
      </c>
    </row>
    <row r="36" spans="1:7" x14ac:dyDescent="0.2">
      <c r="A36" s="63" t="s">
        <v>474</v>
      </c>
      <c r="B36" s="93">
        <f>IFERROR(AVERAGE(D22:D24),0)</f>
        <v>0</v>
      </c>
      <c r="C36" s="94">
        <f>COUNT(D22:D24)/3</f>
        <v>0</v>
      </c>
      <c r="D36" s="93" t="str">
        <f t="shared" si="0"/>
        <v>Incomplete</v>
      </c>
    </row>
    <row r="37" spans="1:7" x14ac:dyDescent="0.2">
      <c r="A37" s="63" t="s">
        <v>481</v>
      </c>
      <c r="B37" s="93">
        <f>IFERROR(AVERAGE(D25:D27),0)</f>
        <v>0</v>
      </c>
      <c r="C37" s="94">
        <f>COUNT(D25:D27)/3</f>
        <v>0</v>
      </c>
      <c r="D37" s="93" t="str">
        <f t="shared" si="0"/>
        <v>Incomplete</v>
      </c>
    </row>
    <row r="39" spans="1:7" x14ac:dyDescent="0.2">
      <c r="A39" s="65" t="s">
        <v>488</v>
      </c>
      <c r="B39" s="73" t="str">
        <f>IF(COUNT(D7:D27)=0, "Incomplete", INDEX(A31:A37, MATCH(_xlfn.MINIFS(B31:B37, C31:C37, "&gt;0"), B31:B37, 0)))</f>
        <v>Incomplete</v>
      </c>
      <c r="C39" s="73"/>
      <c r="D39" s="73"/>
      <c r="E39" s="73"/>
      <c r="F39" s="73"/>
      <c r="G39" s="73"/>
    </row>
    <row r="42" spans="1:7" x14ac:dyDescent="0.2">
      <c r="A42" s="27" t="s">
        <v>489</v>
      </c>
      <c r="B42" s="25"/>
      <c r="C42" s="25"/>
      <c r="D42" s="25"/>
      <c r="E42" s="25"/>
      <c r="F42" s="25"/>
      <c r="G42" s="25"/>
    </row>
    <row r="43" spans="1:7" ht="64" customHeight="1" x14ac:dyDescent="0.2">
      <c r="A43" s="67" t="s">
        <v>441</v>
      </c>
      <c r="B43" s="67" t="s">
        <v>439</v>
      </c>
      <c r="C43" s="67" t="s">
        <v>442</v>
      </c>
      <c r="D43" s="67">
        <v>2</v>
      </c>
      <c r="E43" s="67" t="s">
        <v>490</v>
      </c>
      <c r="F43" s="67" t="s">
        <v>491</v>
      </c>
      <c r="G43" s="67" t="s">
        <v>492</v>
      </c>
    </row>
    <row r="44" spans="1:7" ht="64" customHeight="1" x14ac:dyDescent="0.2">
      <c r="A44" s="67" t="s">
        <v>462</v>
      </c>
      <c r="B44" s="67" t="s">
        <v>460</v>
      </c>
      <c r="C44" s="67" t="s">
        <v>463</v>
      </c>
      <c r="D44" s="67">
        <v>3</v>
      </c>
      <c r="E44" s="67" t="s">
        <v>493</v>
      </c>
      <c r="F44" s="67" t="s">
        <v>494</v>
      </c>
      <c r="G44" s="67" t="s">
        <v>495</v>
      </c>
    </row>
    <row r="45" spans="1:7" ht="64" customHeight="1" x14ac:dyDescent="0.2">
      <c r="A45" s="67" t="s">
        <v>473</v>
      </c>
      <c r="B45" s="67" t="s">
        <v>474</v>
      </c>
      <c r="C45" s="67" t="s">
        <v>475</v>
      </c>
      <c r="D45" s="67">
        <v>4</v>
      </c>
      <c r="E45" s="67" t="s">
        <v>496</v>
      </c>
      <c r="F45" s="67" t="s">
        <v>497</v>
      </c>
      <c r="G45" s="67" t="s">
        <v>498</v>
      </c>
    </row>
  </sheetData>
  <mergeCells count="5">
    <mergeCell ref="A1:G2"/>
    <mergeCell ref="A3:G4"/>
    <mergeCell ref="A5:G5"/>
    <mergeCell ref="A29:G29"/>
    <mergeCell ref="A42:G42"/>
  </mergeCells>
  <dataValidations count="1">
    <dataValidation type="whole" allowBlank="1" showInputMessage="1" showErrorMessage="1" errorTitle="Score 1 to 5" error="Enter a whole number from 1 to 5, or leave blank if there is no evidence." promptTitle="Score 1-5" prompt="1 Critical weakness: absent/contradicted_x000a_2 Significant gaps: informal, untested_x000a_3 Partial: works in a limited setting_x000a_4 Strong: operational, evidenced_x000a_5 Fully ready: proven, repeatable, embedded_x000a_Blank = no evidence yet" sqref="D7:D27" xr:uid="{BDA1A5D7-17D1-1243-88D4-91432BBFFC24}">
      <formula1>1</formula1>
      <formula2>5</formula2>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65B4B-1899-3143-8025-A4A64691C870}">
  <sheetPr>
    <tabColor theme="7"/>
  </sheetPr>
  <dimension ref="A1:G24"/>
  <sheetViews>
    <sheetView workbookViewId="0">
      <pane ySplit="6" topLeftCell="A12" activePane="bottomLeft" state="frozen"/>
      <selection activeCell="C59" sqref="C59"/>
      <selection pane="bottomLeft" activeCell="C59" sqref="C59"/>
    </sheetView>
  </sheetViews>
  <sheetFormatPr baseColWidth="10" defaultRowHeight="16" x14ac:dyDescent="0.2"/>
  <cols>
    <col min="1" max="1" width="59" bestFit="1" customWidth="1"/>
    <col min="2" max="2" width="31.5" customWidth="1"/>
    <col min="3" max="3" width="60" customWidth="1"/>
    <col min="4" max="4" width="16" customWidth="1"/>
    <col min="5" max="5" width="14" customWidth="1"/>
    <col min="6" max="6" width="41.5" hidden="1" customWidth="1"/>
    <col min="7" max="7" width="45.83203125" customWidth="1"/>
  </cols>
  <sheetData>
    <row r="1" spans="1:7" x14ac:dyDescent="0.2">
      <c r="A1" s="1" t="s">
        <v>499</v>
      </c>
      <c r="B1" s="2"/>
      <c r="C1" s="2"/>
      <c r="D1" s="2"/>
      <c r="E1" s="2"/>
      <c r="F1" s="2"/>
      <c r="G1" s="2"/>
    </row>
    <row r="2" spans="1:7" x14ac:dyDescent="0.2">
      <c r="A2" s="2"/>
      <c r="B2" s="2"/>
      <c r="C2" s="2"/>
      <c r="D2" s="2"/>
      <c r="E2" s="2"/>
      <c r="F2" s="2"/>
      <c r="G2" s="2"/>
    </row>
    <row r="3" spans="1:7" ht="30" customHeight="1" x14ac:dyDescent="0.2">
      <c r="A3" s="70" t="s">
        <v>500</v>
      </c>
      <c r="B3" s="2"/>
      <c r="C3" s="2"/>
      <c r="D3" s="2"/>
      <c r="E3" s="2"/>
      <c r="F3" s="2"/>
      <c r="G3" s="2"/>
    </row>
    <row r="4" spans="1:7" ht="30" customHeight="1" x14ac:dyDescent="0.2">
      <c r="A4" s="2"/>
      <c r="B4" s="2"/>
      <c r="C4" s="2"/>
      <c r="D4" s="2"/>
      <c r="E4" s="2"/>
      <c r="F4" s="2"/>
      <c r="G4" s="2"/>
    </row>
    <row r="5" spans="1:7" ht="50" customHeight="1" x14ac:dyDescent="0.2">
      <c r="A5" s="44" t="s">
        <v>501</v>
      </c>
      <c r="B5" s="22"/>
      <c r="C5" s="22"/>
      <c r="D5" s="22"/>
      <c r="E5" s="22"/>
      <c r="F5" s="22"/>
      <c r="G5" s="22"/>
    </row>
    <row r="6" spans="1:7" ht="17" customHeight="1" x14ac:dyDescent="0.2">
      <c r="A6" s="28" t="s">
        <v>44</v>
      </c>
      <c r="B6" s="28" t="s">
        <v>502</v>
      </c>
      <c r="C6" s="28" t="s">
        <v>503</v>
      </c>
      <c r="D6" s="28" t="s">
        <v>271</v>
      </c>
      <c r="E6" s="28" t="s">
        <v>504</v>
      </c>
      <c r="F6" s="28"/>
      <c r="G6" s="28" t="s">
        <v>272</v>
      </c>
    </row>
    <row r="7" spans="1:7" ht="68" customHeight="1" x14ac:dyDescent="0.2">
      <c r="A7" s="51" t="s">
        <v>505</v>
      </c>
      <c r="B7" s="51" t="s">
        <v>506</v>
      </c>
      <c r="C7" s="51" t="s">
        <v>507</v>
      </c>
      <c r="D7" s="36"/>
      <c r="E7" s="95" t="s">
        <v>508</v>
      </c>
      <c r="F7" s="20"/>
      <c r="G7" s="53"/>
    </row>
    <row r="8" spans="1:7" ht="68" customHeight="1" x14ac:dyDescent="0.2">
      <c r="A8" s="51" t="s">
        <v>509</v>
      </c>
      <c r="B8" s="51" t="s">
        <v>510</v>
      </c>
      <c r="C8" s="51" t="s">
        <v>511</v>
      </c>
      <c r="D8" s="36"/>
      <c r="E8" s="95" t="s">
        <v>508</v>
      </c>
      <c r="F8" s="20"/>
      <c r="G8" s="53"/>
    </row>
    <row r="9" spans="1:7" ht="51" customHeight="1" x14ac:dyDescent="0.2">
      <c r="A9" s="51" t="s">
        <v>512</v>
      </c>
      <c r="B9" s="51" t="s">
        <v>513</v>
      </c>
      <c r="C9" s="51" t="s">
        <v>514</v>
      </c>
      <c r="D9" s="36"/>
      <c r="E9" s="95" t="s">
        <v>508</v>
      </c>
      <c r="F9" s="20"/>
      <c r="G9" s="53"/>
    </row>
    <row r="10" spans="1:7" ht="85" customHeight="1" x14ac:dyDescent="0.2">
      <c r="A10" s="51" t="s">
        <v>515</v>
      </c>
      <c r="B10" s="51" t="s">
        <v>516</v>
      </c>
      <c r="C10" s="51" t="s">
        <v>517</v>
      </c>
      <c r="D10" s="36"/>
      <c r="E10" s="95" t="s">
        <v>518</v>
      </c>
      <c r="F10" s="20"/>
      <c r="G10" s="53"/>
    </row>
    <row r="11" spans="1:7" ht="68" customHeight="1" x14ac:dyDescent="0.2">
      <c r="A11" s="51" t="s">
        <v>519</v>
      </c>
      <c r="B11" s="51" t="s">
        <v>520</v>
      </c>
      <c r="C11" s="51" t="s">
        <v>521</v>
      </c>
      <c r="D11" s="36"/>
      <c r="E11" s="95" t="s">
        <v>518</v>
      </c>
      <c r="F11" s="20"/>
      <c r="G11" s="53"/>
    </row>
    <row r="12" spans="1:7" ht="85" customHeight="1" x14ac:dyDescent="0.2">
      <c r="A12" s="51" t="s">
        <v>522</v>
      </c>
      <c r="B12" s="51" t="s">
        <v>523</v>
      </c>
      <c r="C12" s="51" t="s">
        <v>524</v>
      </c>
      <c r="D12" s="36"/>
      <c r="E12" s="95" t="s">
        <v>518</v>
      </c>
      <c r="F12" s="20"/>
      <c r="G12" s="53"/>
    </row>
    <row r="13" spans="1:7" ht="68" customHeight="1" x14ac:dyDescent="0.2">
      <c r="A13" s="51" t="s">
        <v>525</v>
      </c>
      <c r="B13" s="51" t="s">
        <v>526</v>
      </c>
      <c r="C13" s="51" t="s">
        <v>527</v>
      </c>
      <c r="D13" s="36"/>
      <c r="E13" s="95" t="s">
        <v>528</v>
      </c>
      <c r="F13" s="20"/>
      <c r="G13" s="53"/>
    </row>
    <row r="14" spans="1:7" ht="68" customHeight="1" x14ac:dyDescent="0.2">
      <c r="A14" s="51" t="s">
        <v>529</v>
      </c>
      <c r="B14" s="51" t="s">
        <v>530</v>
      </c>
      <c r="C14" s="51" t="s">
        <v>531</v>
      </c>
      <c r="D14" s="36"/>
      <c r="E14" s="95" t="s">
        <v>528</v>
      </c>
      <c r="F14" s="20"/>
      <c r="G14" s="53"/>
    </row>
    <row r="15" spans="1:7" ht="68" customHeight="1" x14ac:dyDescent="0.2">
      <c r="A15" s="51" t="s">
        <v>532</v>
      </c>
      <c r="B15" s="51" t="s">
        <v>533</v>
      </c>
      <c r="C15" s="51" t="s">
        <v>534</v>
      </c>
      <c r="D15" s="36"/>
      <c r="E15" s="95" t="s">
        <v>528</v>
      </c>
      <c r="F15" s="20"/>
      <c r="G15" s="53"/>
    </row>
    <row r="16" spans="1:7" ht="68" customHeight="1" x14ac:dyDescent="0.2">
      <c r="A16" s="51" t="s">
        <v>535</v>
      </c>
      <c r="B16" s="51" t="s">
        <v>536</v>
      </c>
      <c r="C16" s="51" t="s">
        <v>537</v>
      </c>
      <c r="D16" s="36"/>
      <c r="E16" s="95" t="s">
        <v>528</v>
      </c>
      <c r="F16" s="20"/>
      <c r="G16" s="53"/>
    </row>
    <row r="18" spans="1:7" x14ac:dyDescent="0.2">
      <c r="A18" s="81" t="s">
        <v>538</v>
      </c>
      <c r="B18" s="2"/>
      <c r="C18" s="2"/>
      <c r="D18" s="2"/>
      <c r="E18" s="2"/>
      <c r="F18" s="2"/>
      <c r="G18" s="2"/>
    </row>
    <row r="19" spans="1:7" x14ac:dyDescent="0.2">
      <c r="A19" s="63" t="s">
        <v>539</v>
      </c>
      <c r="B19" s="64">
        <f>IFERROR(AVERAGEIF($E$7:$E$16, "Model 1", $D$7:$D$16), 0)</f>
        <v>0</v>
      </c>
      <c r="C19" s="63" t="s">
        <v>540</v>
      </c>
      <c r="D19" s="63"/>
      <c r="E19" s="63"/>
      <c r="F19" s="63"/>
      <c r="G19" s="63"/>
    </row>
    <row r="20" spans="1:7" x14ac:dyDescent="0.2">
      <c r="A20" s="63" t="s">
        <v>541</v>
      </c>
      <c r="B20" s="64">
        <f>IFERROR(AVERAGEIF($E$7:$E$16, "Model 2", $D$7:$D$16), 0)</f>
        <v>0</v>
      </c>
      <c r="C20" s="63" t="s">
        <v>542</v>
      </c>
      <c r="D20" s="63"/>
      <c r="E20" s="63"/>
      <c r="F20" s="63"/>
      <c r="G20" s="63"/>
    </row>
    <row r="21" spans="1:7" x14ac:dyDescent="0.2">
      <c r="A21" s="63" t="s">
        <v>543</v>
      </c>
      <c r="B21" s="64">
        <f>IFERROR(AVERAGEIF($E$7:$E$16, "Model 3", $D$7:$D$16), 0)</f>
        <v>0</v>
      </c>
      <c r="C21" s="63" t="s">
        <v>544</v>
      </c>
      <c r="D21" s="63"/>
      <c r="E21" s="63"/>
      <c r="F21" s="63"/>
      <c r="G21" s="63"/>
    </row>
    <row r="23" spans="1:7" x14ac:dyDescent="0.2">
      <c r="A23" s="65" t="s">
        <v>545</v>
      </c>
      <c r="B23" s="93" t="str">
        <f>IF(COUNT(D7:D16)=0, "Incomplete", INDEX(A19:A21, MATCH(MAX(B19:B21), B19:B21, 0)))</f>
        <v>Incomplete</v>
      </c>
      <c r="C23" s="93"/>
      <c r="D23" s="93"/>
      <c r="E23" s="93"/>
      <c r="F23" s="93"/>
      <c r="G23" s="93"/>
    </row>
    <row r="24" spans="1:7" x14ac:dyDescent="0.2">
      <c r="A24" s="65" t="s">
        <v>546</v>
      </c>
      <c r="B24" s="96"/>
      <c r="C24" s="39"/>
      <c r="D24" s="39"/>
      <c r="E24" s="39"/>
      <c r="F24" s="39"/>
      <c r="G24" s="39"/>
    </row>
  </sheetData>
  <mergeCells count="5">
    <mergeCell ref="A1:G2"/>
    <mergeCell ref="A3:G4"/>
    <mergeCell ref="A5:G5"/>
    <mergeCell ref="A18:G18"/>
    <mergeCell ref="B24:G24"/>
  </mergeCells>
  <dataValidations count="1">
    <dataValidation type="whole" allowBlank="1" showInputMessage="1" showErrorMessage="1" errorTitle="Score 1 to 5" error="Enter a whole number from 1 to 5, or leave blank if there is no evidence." promptTitle="How true? 1-5" prompt="1 Not true / not applicable_x000a_2 Slightly true_x000a_3 Partly true, or in some areas_x000a_4 Largely true_x000a_5 Dominant feature across the opportunity" sqref="D7:D16" xr:uid="{7D5FCA71-5E2A-BC40-BBEF-FED0F2FE79BB}">
      <formula1>1</formula1>
      <formula2>5</formula2>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B6D98-882C-7742-8563-7BD8B797BDB7}">
  <sheetPr>
    <tabColor theme="7"/>
  </sheetPr>
  <dimension ref="A1:L30"/>
  <sheetViews>
    <sheetView workbookViewId="0">
      <pane xSplit="2" ySplit="6" topLeftCell="C7" activePane="bottomRight" state="frozen"/>
      <selection activeCell="C59" sqref="C59"/>
      <selection pane="topRight" activeCell="C59" sqref="C59"/>
      <selection pane="bottomLeft" activeCell="C59" sqref="C59"/>
      <selection pane="bottomRight" activeCell="C59" sqref="C59"/>
    </sheetView>
  </sheetViews>
  <sheetFormatPr baseColWidth="10" defaultRowHeight="16" x14ac:dyDescent="0.2"/>
  <cols>
    <col min="1" max="1" width="25.6640625" customWidth="1"/>
    <col min="2" max="2" width="43.1640625" customWidth="1"/>
    <col min="3" max="3" width="27" customWidth="1"/>
    <col min="4" max="4" width="17.33203125" customWidth="1"/>
    <col min="5" max="5" width="23.1640625" customWidth="1"/>
    <col min="6" max="6" width="28.6640625" customWidth="1"/>
    <col min="7" max="7" width="19.1640625" customWidth="1"/>
    <col min="8" max="8" width="28" customWidth="1"/>
    <col min="9" max="9" width="27.33203125" customWidth="1"/>
    <col min="10" max="10" width="31.83203125" customWidth="1"/>
    <col min="11" max="11" width="30" customWidth="1"/>
    <col min="12" max="12" width="13" hidden="1" customWidth="1"/>
  </cols>
  <sheetData>
    <row r="1" spans="1:12" x14ac:dyDescent="0.2">
      <c r="A1" s="1" t="s">
        <v>547</v>
      </c>
      <c r="B1" s="2"/>
      <c r="C1" s="2"/>
      <c r="D1" s="2"/>
      <c r="E1" s="2"/>
      <c r="F1" s="2"/>
      <c r="G1" s="2"/>
      <c r="H1" s="2"/>
      <c r="I1" s="2"/>
      <c r="J1" s="2"/>
    </row>
    <row r="2" spans="1:12" x14ac:dyDescent="0.2">
      <c r="A2" s="2"/>
      <c r="B2" s="2"/>
      <c r="C2" s="2"/>
      <c r="D2" s="2"/>
      <c r="E2" s="2"/>
      <c r="F2" s="2"/>
      <c r="G2" s="2"/>
      <c r="H2" s="2"/>
      <c r="I2" s="2"/>
      <c r="J2" s="2"/>
    </row>
    <row r="3" spans="1:12" ht="66" customHeight="1" x14ac:dyDescent="0.2">
      <c r="A3" s="97" t="s">
        <v>548</v>
      </c>
      <c r="B3" s="2"/>
      <c r="C3" s="2"/>
      <c r="D3" s="2"/>
      <c r="E3" s="2"/>
      <c r="F3" s="2"/>
      <c r="G3" s="2"/>
      <c r="H3" s="2"/>
      <c r="I3" s="2"/>
      <c r="J3" s="2"/>
    </row>
    <row r="4" spans="1:12" ht="34" customHeight="1" x14ac:dyDescent="0.2">
      <c r="A4" s="4" t="s">
        <v>549</v>
      </c>
      <c r="B4" s="75" t="str">
        <f>IF('Opportunity Profile'!B10="","Enter institution name",'Opportunity Profile'!B10)</f>
        <v>Enter institution name</v>
      </c>
      <c r="C4" s="39"/>
      <c r="D4" s="39"/>
      <c r="E4" s="98" t="s">
        <v>550</v>
      </c>
      <c r="F4" s="2"/>
      <c r="G4" s="2"/>
      <c r="H4" s="2"/>
      <c r="I4" s="2"/>
      <c r="J4" s="2"/>
    </row>
    <row r="5" spans="1:12" ht="80" customHeight="1" x14ac:dyDescent="0.2">
      <c r="A5" s="44" t="s">
        <v>551</v>
      </c>
      <c r="B5" s="22"/>
      <c r="C5" s="22"/>
      <c r="D5" s="22"/>
      <c r="E5" s="22"/>
      <c r="F5" s="22"/>
      <c r="G5" s="22"/>
      <c r="H5" s="22"/>
      <c r="I5" s="22"/>
      <c r="J5" s="22"/>
      <c r="K5" s="22"/>
    </row>
    <row r="6" spans="1:12" ht="24" customHeight="1" x14ac:dyDescent="0.2">
      <c r="A6" s="78" t="s">
        <v>552</v>
      </c>
      <c r="B6" s="78" t="s">
        <v>553</v>
      </c>
      <c r="C6" s="78" t="s">
        <v>554</v>
      </c>
      <c r="D6" s="78" t="s">
        <v>406</v>
      </c>
      <c r="E6" s="78" t="s">
        <v>555</v>
      </c>
      <c r="F6" s="78" t="s">
        <v>556</v>
      </c>
      <c r="G6" s="78" t="s">
        <v>408</v>
      </c>
      <c r="H6" s="78" t="s">
        <v>557</v>
      </c>
      <c r="I6" s="78" t="s">
        <v>410</v>
      </c>
      <c r="J6" s="78" t="s">
        <v>558</v>
      </c>
      <c r="K6" s="28" t="s">
        <v>559</v>
      </c>
    </row>
    <row r="7" spans="1:12" ht="34" customHeight="1" x14ac:dyDescent="0.2">
      <c r="A7" s="99" t="s">
        <v>560</v>
      </c>
      <c r="B7" s="99" t="s">
        <v>561</v>
      </c>
      <c r="C7" s="5"/>
      <c r="D7" s="5"/>
      <c r="E7" s="5"/>
      <c r="F7" s="5"/>
      <c r="G7" s="5"/>
      <c r="H7" s="5"/>
      <c r="I7" s="100" t="str">
        <f t="shared" ref="I7:I20" si="0">IF(COUNT(C7:H7)=0, "", AVERAGE(C7:H7))</f>
        <v/>
      </c>
      <c r="J7" s="5"/>
      <c r="K7" s="101"/>
      <c r="L7" t="str">
        <f t="shared" ref="L7:L20" si="1">IF(I7="", "", I7 + (100 - ROW()) / 100000)</f>
        <v/>
      </c>
    </row>
    <row r="8" spans="1:12" ht="34" customHeight="1" x14ac:dyDescent="0.2">
      <c r="A8" s="99" t="s">
        <v>562</v>
      </c>
      <c r="B8" s="99" t="s">
        <v>563</v>
      </c>
      <c r="C8" s="5"/>
      <c r="D8" s="5"/>
      <c r="E8" s="5"/>
      <c r="F8" s="5"/>
      <c r="G8" s="5"/>
      <c r="H8" s="5"/>
      <c r="I8" s="100" t="str">
        <f t="shared" si="0"/>
        <v/>
      </c>
      <c r="J8" s="5"/>
      <c r="K8" s="101"/>
      <c r="L8" t="str">
        <f t="shared" si="1"/>
        <v/>
      </c>
    </row>
    <row r="9" spans="1:12" ht="34" customHeight="1" x14ac:dyDescent="0.2">
      <c r="A9" s="99" t="s">
        <v>564</v>
      </c>
      <c r="B9" s="99" t="s">
        <v>565</v>
      </c>
      <c r="C9" s="5"/>
      <c r="D9" s="5"/>
      <c r="E9" s="5"/>
      <c r="F9" s="5"/>
      <c r="G9" s="5"/>
      <c r="H9" s="5"/>
      <c r="I9" s="100" t="str">
        <f t="shared" si="0"/>
        <v/>
      </c>
      <c r="J9" s="5"/>
      <c r="K9" s="101"/>
      <c r="L9" t="str">
        <f t="shared" si="1"/>
        <v/>
      </c>
    </row>
    <row r="10" spans="1:12" ht="34" customHeight="1" x14ac:dyDescent="0.2">
      <c r="A10" s="99" t="s">
        <v>566</v>
      </c>
      <c r="B10" s="99" t="s">
        <v>567</v>
      </c>
      <c r="C10" s="5"/>
      <c r="D10" s="5"/>
      <c r="E10" s="5"/>
      <c r="F10" s="5"/>
      <c r="G10" s="5"/>
      <c r="H10" s="5"/>
      <c r="I10" s="100" t="str">
        <f t="shared" si="0"/>
        <v/>
      </c>
      <c r="J10" s="5"/>
      <c r="K10" s="101"/>
      <c r="L10" t="str">
        <f t="shared" si="1"/>
        <v/>
      </c>
    </row>
    <row r="11" spans="1:12" ht="34" customHeight="1" x14ac:dyDescent="0.2">
      <c r="A11" s="99" t="s">
        <v>568</v>
      </c>
      <c r="B11" s="99" t="s">
        <v>569</v>
      </c>
      <c r="C11" s="5"/>
      <c r="D11" s="5"/>
      <c r="E11" s="5"/>
      <c r="F11" s="5"/>
      <c r="G11" s="5"/>
      <c r="H11" s="5"/>
      <c r="I11" s="100" t="str">
        <f t="shared" si="0"/>
        <v/>
      </c>
      <c r="J11" s="5"/>
      <c r="K11" s="101"/>
      <c r="L11" t="str">
        <f t="shared" si="1"/>
        <v/>
      </c>
    </row>
    <row r="12" spans="1:12" ht="34" customHeight="1" x14ac:dyDescent="0.2">
      <c r="A12" s="99" t="s">
        <v>421</v>
      </c>
      <c r="B12" s="99" t="s">
        <v>570</v>
      </c>
      <c r="C12" s="5"/>
      <c r="D12" s="5"/>
      <c r="E12" s="5"/>
      <c r="F12" s="5"/>
      <c r="G12" s="5"/>
      <c r="H12" s="5"/>
      <c r="I12" s="100" t="str">
        <f t="shared" si="0"/>
        <v/>
      </c>
      <c r="J12" s="5"/>
      <c r="K12" s="101"/>
      <c r="L12" t="str">
        <f t="shared" si="1"/>
        <v/>
      </c>
    </row>
    <row r="13" spans="1:12" ht="34" customHeight="1" x14ac:dyDescent="0.2">
      <c r="A13" s="99" t="s">
        <v>571</v>
      </c>
      <c r="B13" s="99" t="s">
        <v>572</v>
      </c>
      <c r="C13" s="5"/>
      <c r="D13" s="5"/>
      <c r="E13" s="5"/>
      <c r="F13" s="5"/>
      <c r="G13" s="5"/>
      <c r="H13" s="5"/>
      <c r="I13" s="100" t="str">
        <f t="shared" si="0"/>
        <v/>
      </c>
      <c r="J13" s="5"/>
      <c r="K13" s="101"/>
      <c r="L13" t="str">
        <f t="shared" si="1"/>
        <v/>
      </c>
    </row>
    <row r="14" spans="1:12" ht="34" customHeight="1" x14ac:dyDescent="0.2">
      <c r="A14" s="99" t="s">
        <v>573</v>
      </c>
      <c r="B14" s="99" t="s">
        <v>574</v>
      </c>
      <c r="C14" s="5"/>
      <c r="D14" s="5"/>
      <c r="E14" s="5"/>
      <c r="F14" s="5"/>
      <c r="G14" s="5"/>
      <c r="H14" s="5"/>
      <c r="I14" s="100" t="str">
        <f t="shared" si="0"/>
        <v/>
      </c>
      <c r="J14" s="5"/>
      <c r="K14" s="101"/>
      <c r="L14" t="str">
        <f t="shared" si="1"/>
        <v/>
      </c>
    </row>
    <row r="15" spans="1:12" ht="34" customHeight="1" x14ac:dyDescent="0.2">
      <c r="A15" s="99" t="s">
        <v>575</v>
      </c>
      <c r="B15" s="99" t="s">
        <v>576</v>
      </c>
      <c r="C15" s="5"/>
      <c r="D15" s="5"/>
      <c r="E15" s="5"/>
      <c r="F15" s="5"/>
      <c r="G15" s="5"/>
      <c r="H15" s="5"/>
      <c r="I15" s="100" t="str">
        <f t="shared" si="0"/>
        <v/>
      </c>
      <c r="J15" s="5"/>
      <c r="K15" s="101"/>
      <c r="L15" t="str">
        <f t="shared" si="1"/>
        <v/>
      </c>
    </row>
    <row r="16" spans="1:12" ht="34" customHeight="1" x14ac:dyDescent="0.2">
      <c r="A16" s="99" t="s">
        <v>577</v>
      </c>
      <c r="B16" s="99" t="s">
        <v>578</v>
      </c>
      <c r="C16" s="5"/>
      <c r="D16" s="5"/>
      <c r="E16" s="5"/>
      <c r="F16" s="5"/>
      <c r="G16" s="5"/>
      <c r="H16" s="5"/>
      <c r="I16" s="100" t="str">
        <f t="shared" si="0"/>
        <v/>
      </c>
      <c r="J16" s="5"/>
      <c r="K16" s="101"/>
      <c r="L16" t="str">
        <f t="shared" si="1"/>
        <v/>
      </c>
    </row>
    <row r="17" spans="1:12" ht="34" customHeight="1" x14ac:dyDescent="0.2">
      <c r="A17" s="99" t="s">
        <v>579</v>
      </c>
      <c r="B17" s="99" t="s">
        <v>580</v>
      </c>
      <c r="C17" s="5"/>
      <c r="D17" s="5"/>
      <c r="E17" s="5"/>
      <c r="F17" s="5"/>
      <c r="G17" s="5"/>
      <c r="H17" s="5"/>
      <c r="I17" s="100" t="str">
        <f t="shared" si="0"/>
        <v/>
      </c>
      <c r="J17" s="5"/>
      <c r="K17" s="101"/>
      <c r="L17" t="str">
        <f t="shared" si="1"/>
        <v/>
      </c>
    </row>
    <row r="18" spans="1:12" ht="34" customHeight="1" x14ac:dyDescent="0.2">
      <c r="A18" s="99" t="s">
        <v>581</v>
      </c>
      <c r="B18" s="99" t="s">
        <v>582</v>
      </c>
      <c r="C18" s="5"/>
      <c r="D18" s="5"/>
      <c r="E18" s="5"/>
      <c r="F18" s="5"/>
      <c r="G18" s="5"/>
      <c r="H18" s="5"/>
      <c r="I18" s="100" t="str">
        <f t="shared" si="0"/>
        <v/>
      </c>
      <c r="J18" s="5"/>
      <c r="K18" s="101"/>
      <c r="L18" t="str">
        <f t="shared" si="1"/>
        <v/>
      </c>
    </row>
    <row r="19" spans="1:12" ht="34" customHeight="1" x14ac:dyDescent="0.2">
      <c r="A19" s="99" t="s">
        <v>583</v>
      </c>
      <c r="B19" s="99" t="s">
        <v>584</v>
      </c>
      <c r="C19" s="5"/>
      <c r="D19" s="5"/>
      <c r="E19" s="5"/>
      <c r="F19" s="5"/>
      <c r="G19" s="5"/>
      <c r="H19" s="5"/>
      <c r="I19" s="100" t="str">
        <f t="shared" si="0"/>
        <v/>
      </c>
      <c r="J19" s="5"/>
      <c r="K19" s="101"/>
      <c r="L19" t="str">
        <f t="shared" si="1"/>
        <v/>
      </c>
    </row>
    <row r="20" spans="1:12" ht="34" customHeight="1" x14ac:dyDescent="0.2">
      <c r="A20" s="99" t="s">
        <v>585</v>
      </c>
      <c r="B20" s="99" t="s">
        <v>586</v>
      </c>
      <c r="C20" s="5"/>
      <c r="D20" s="5"/>
      <c r="E20" s="5"/>
      <c r="F20" s="5"/>
      <c r="G20" s="5"/>
      <c r="H20" s="5"/>
      <c r="I20" s="100" t="str">
        <f t="shared" si="0"/>
        <v/>
      </c>
      <c r="J20" s="5"/>
      <c r="K20" s="101"/>
      <c r="L20" t="str">
        <f t="shared" si="1"/>
        <v/>
      </c>
    </row>
    <row r="22" spans="1:12" x14ac:dyDescent="0.2">
      <c r="A22" s="81" t="s">
        <v>587</v>
      </c>
      <c r="B22" s="2"/>
      <c r="C22" s="2"/>
      <c r="D22" s="2"/>
      <c r="E22" s="2"/>
      <c r="F22" s="2"/>
      <c r="G22" s="2"/>
      <c r="H22" s="2"/>
      <c r="I22" s="2"/>
      <c r="J22" s="2"/>
    </row>
    <row r="23" spans="1:12" x14ac:dyDescent="0.2">
      <c r="A23" s="102" t="s">
        <v>588</v>
      </c>
      <c r="B23" s="64" t="str">
        <f>IF(COUNT(I7:I20)=0,"Incomplete",INDEX(A7:A20,MATCH(MAX(I7:I20),I7:I20,0)))</f>
        <v>Incomplete</v>
      </c>
      <c r="C23" s="64"/>
      <c r="D23" s="64"/>
      <c r="E23" s="64"/>
      <c r="F23" s="64"/>
      <c r="G23" s="64"/>
      <c r="H23" s="64"/>
      <c r="I23" s="64"/>
      <c r="J23" s="64"/>
    </row>
    <row r="24" spans="1:12" x14ac:dyDescent="0.2">
      <c r="A24" s="102" t="s">
        <v>589</v>
      </c>
      <c r="B24" s="84"/>
      <c r="C24" s="39"/>
      <c r="D24" s="39"/>
      <c r="E24" s="39"/>
      <c r="F24" s="39"/>
      <c r="G24" s="39"/>
      <c r="H24" s="39"/>
      <c r="I24" s="39"/>
      <c r="J24" s="39"/>
    </row>
    <row r="25" spans="1:12" ht="17" x14ac:dyDescent="0.2">
      <c r="A25" s="103" t="s">
        <v>590</v>
      </c>
      <c r="B25" s="83" t="str">
        <f>IF(COUNT($L$7:$L$20)=0, "Incomplete", INDEX($A$7:$A$20, MATCH(LARGE($L$7:$L$20, 1), $L$7:$L$20, 0)) &amp; IF(COUNT($L$7:$L$20)&gt;=2, "; " &amp; INDEX($A$7:$A$20, MATCH(LARGE($L$7:$L$20, 2), $L$7:$L$20, 0)), "") &amp; IF(COUNT($L$7:$L$20)&gt;=3, "; " &amp; INDEX($A$7:$A$20, MATCH(LARGE($L$7:$L$20, 3), $L$7:$L$20, 0)), ""))</f>
        <v>Incomplete</v>
      </c>
      <c r="C25" s="83"/>
      <c r="D25" s="83"/>
      <c r="E25" s="83"/>
      <c r="F25" s="83"/>
      <c r="G25" s="83"/>
      <c r="H25" s="83"/>
      <c r="I25" s="83"/>
      <c r="J25" s="83"/>
    </row>
    <row r="26" spans="1:12" ht="34" x14ac:dyDescent="0.2">
      <c r="A26" s="103" t="s">
        <v>591</v>
      </c>
      <c r="B26" s="83" t="str">
        <f>COUNTIF($K$7:$K$20, "Assign to another actor") &amp; " role(s): see column K and record owners on the Actor Map"</f>
        <v>0 role(s): see column K and record owners on the Actor Map</v>
      </c>
      <c r="C26" s="83"/>
      <c r="D26" s="83"/>
      <c r="E26" s="83"/>
      <c r="F26" s="83"/>
      <c r="G26" s="83"/>
      <c r="H26" s="83"/>
      <c r="I26" s="83"/>
      <c r="J26" s="83"/>
    </row>
    <row r="28" spans="1:12" x14ac:dyDescent="0.2">
      <c r="A28" s="27" t="s">
        <v>592</v>
      </c>
      <c r="B28" s="25"/>
      <c r="C28" s="25"/>
      <c r="D28" s="25"/>
      <c r="E28" s="25"/>
      <c r="F28" s="25"/>
      <c r="G28" s="25"/>
      <c r="H28" s="25"/>
      <c r="I28" s="25"/>
      <c r="J28" s="25"/>
      <c r="K28" s="25"/>
    </row>
    <row r="29" spans="1:12" ht="50" customHeight="1" x14ac:dyDescent="0.2">
      <c r="A29" s="67" t="s">
        <v>566</v>
      </c>
      <c r="B29" s="67" t="s">
        <v>567</v>
      </c>
      <c r="C29" s="67">
        <v>5</v>
      </c>
      <c r="D29" s="67">
        <v>4</v>
      </c>
      <c r="E29" s="67">
        <v>4</v>
      </c>
      <c r="F29" s="67">
        <v>5</v>
      </c>
      <c r="G29" s="67">
        <v>3</v>
      </c>
      <c r="H29" s="67">
        <v>4</v>
      </c>
      <c r="I29" s="67">
        <v>4.2</v>
      </c>
      <c r="J29" s="67" t="s">
        <v>593</v>
      </c>
      <c r="K29" s="67" t="s">
        <v>594</v>
      </c>
    </row>
    <row r="30" spans="1:12" ht="50" customHeight="1" x14ac:dyDescent="0.2">
      <c r="A30" s="67" t="s">
        <v>571</v>
      </c>
      <c r="B30" s="67" t="s">
        <v>572</v>
      </c>
      <c r="C30" s="67">
        <v>1</v>
      </c>
      <c r="D30" s="67">
        <v>1</v>
      </c>
      <c r="E30" s="67">
        <v>2</v>
      </c>
      <c r="F30" s="67">
        <v>2</v>
      </c>
      <c r="G30" s="67">
        <v>3</v>
      </c>
      <c r="H30" s="67">
        <v>1</v>
      </c>
      <c r="I30" s="67">
        <v>1.7</v>
      </c>
      <c r="J30" s="67" t="s">
        <v>595</v>
      </c>
      <c r="K30" s="67" t="s">
        <v>596</v>
      </c>
    </row>
  </sheetData>
  <mergeCells count="10">
    <mergeCell ref="B24:J24"/>
    <mergeCell ref="B25:J25"/>
    <mergeCell ref="B26:J26"/>
    <mergeCell ref="A28:K28"/>
    <mergeCell ref="A1:J2"/>
    <mergeCell ref="A3:J3"/>
    <mergeCell ref="B4:D4"/>
    <mergeCell ref="E4:J4"/>
    <mergeCell ref="A5:K5"/>
    <mergeCell ref="A22:J22"/>
  </mergeCells>
  <dataValidations count="1">
    <dataValidation type="whole" allowBlank="1" showInputMessage="1" showErrorMessage="1" errorTitle="Score 1 to 5" error="Enter a whole number from 1 to 5, or leave blank if there is no evidence." promptTitle="Role fit 1-5" prompt="1 Poor fit_x000a_2 Weak_x000a_3 Possible with support_x000a_4 Good fit_x000a_5 Strong, proven fit_x000a_Definitions: row 5" sqref="C7:H20" xr:uid="{42179DED-023F-7944-AC90-4D55E88F78BF}">
      <formula1>1</formula1>
      <formula2>5</formula2>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A8701-3555-804A-A6E8-16F9D2C815E9}">
  <sheetPr>
    <tabColor theme="7"/>
  </sheetPr>
  <dimension ref="A1:J31"/>
  <sheetViews>
    <sheetView workbookViewId="0">
      <pane xSplit="1" ySplit="6" topLeftCell="B10" activePane="bottomRight" state="frozen"/>
      <selection activeCell="C59" sqref="C59"/>
      <selection pane="topRight" activeCell="C59" sqref="C59"/>
      <selection pane="bottomLeft" activeCell="C59" sqref="C59"/>
      <selection pane="bottomRight" activeCell="C59" sqref="C59"/>
    </sheetView>
  </sheetViews>
  <sheetFormatPr baseColWidth="10" defaultRowHeight="16" x14ac:dyDescent="0.2"/>
  <cols>
    <col min="1" max="1" width="31" bestFit="1" customWidth="1"/>
    <col min="2" max="2" width="45.6640625" customWidth="1"/>
    <col min="3" max="3" width="32.83203125" customWidth="1"/>
    <col min="4" max="4" width="26" customWidth="1"/>
    <col min="5" max="5" width="22.1640625" customWidth="1"/>
    <col min="6" max="6" width="31.6640625" customWidth="1"/>
    <col min="7" max="7" width="46.83203125" customWidth="1"/>
    <col min="8" max="8" width="26" customWidth="1"/>
  </cols>
  <sheetData>
    <row r="1" spans="1:10" x14ac:dyDescent="0.2">
      <c r="A1" s="1" t="s">
        <v>597</v>
      </c>
      <c r="B1" s="2"/>
      <c r="C1" s="2"/>
      <c r="D1" s="2"/>
      <c r="E1" s="2"/>
      <c r="F1" s="2"/>
      <c r="G1" s="2"/>
      <c r="H1" s="2"/>
      <c r="I1" s="85"/>
      <c r="J1" s="85"/>
    </row>
    <row r="2" spans="1:10" x14ac:dyDescent="0.2">
      <c r="A2" s="2"/>
      <c r="B2" s="2"/>
      <c r="C2" s="2"/>
      <c r="D2" s="2"/>
      <c r="E2" s="2"/>
      <c r="F2" s="2"/>
      <c r="G2" s="2"/>
      <c r="H2" s="2"/>
      <c r="I2" s="85"/>
      <c r="J2" s="85"/>
    </row>
    <row r="3" spans="1:10" ht="30" customHeight="1" x14ac:dyDescent="0.2">
      <c r="A3" s="70" t="s">
        <v>598</v>
      </c>
      <c r="B3" s="2"/>
      <c r="C3" s="2"/>
      <c r="D3" s="2"/>
      <c r="E3" s="2"/>
      <c r="F3" s="2"/>
      <c r="G3" s="2"/>
      <c r="H3" s="2"/>
      <c r="I3" s="20"/>
      <c r="J3" s="20"/>
    </row>
    <row r="4" spans="1:10" ht="30" customHeight="1" x14ac:dyDescent="0.2">
      <c r="A4" s="2"/>
      <c r="B4" s="2"/>
      <c r="C4" s="2"/>
      <c r="D4" s="2"/>
      <c r="E4" s="2"/>
      <c r="F4" s="2"/>
      <c r="G4" s="2"/>
      <c r="H4" s="2"/>
      <c r="I4" s="20"/>
      <c r="J4" s="20"/>
    </row>
    <row r="5" spans="1:10" ht="80" customHeight="1" x14ac:dyDescent="0.2">
      <c r="A5" s="44" t="s">
        <v>599</v>
      </c>
      <c r="B5" s="22"/>
      <c r="C5" s="22"/>
      <c r="D5" s="22"/>
      <c r="E5" s="22"/>
      <c r="F5" s="22"/>
      <c r="G5" s="22"/>
      <c r="H5" s="22"/>
    </row>
    <row r="6" spans="1:10" ht="17" customHeight="1" x14ac:dyDescent="0.2">
      <c r="A6" s="28" t="s">
        <v>600</v>
      </c>
      <c r="B6" s="28" t="s">
        <v>601</v>
      </c>
      <c r="C6" s="28" t="s">
        <v>602</v>
      </c>
      <c r="D6" s="28" t="s">
        <v>603</v>
      </c>
      <c r="E6" s="28" t="s">
        <v>604</v>
      </c>
      <c r="F6" s="28" t="s">
        <v>605</v>
      </c>
      <c r="G6" s="28" t="s">
        <v>606</v>
      </c>
      <c r="H6" s="28" t="s">
        <v>607</v>
      </c>
    </row>
    <row r="7" spans="1:10" ht="51" customHeight="1" x14ac:dyDescent="0.2">
      <c r="A7" s="99" t="s">
        <v>608</v>
      </c>
      <c r="B7" s="99" t="s">
        <v>609</v>
      </c>
      <c r="C7" s="99" t="s">
        <v>610</v>
      </c>
      <c r="D7" s="52"/>
      <c r="E7" s="52"/>
      <c r="F7" s="53"/>
      <c r="G7" s="53"/>
      <c r="H7" s="53"/>
    </row>
    <row r="8" spans="1:10" ht="34" customHeight="1" x14ac:dyDescent="0.2">
      <c r="A8" s="99" t="s">
        <v>611</v>
      </c>
      <c r="B8" s="99" t="s">
        <v>612</v>
      </c>
      <c r="C8" s="99" t="s">
        <v>613</v>
      </c>
      <c r="D8" s="52"/>
      <c r="E8" s="52"/>
      <c r="F8" s="53"/>
      <c r="G8" s="53"/>
      <c r="H8" s="53"/>
    </row>
    <row r="9" spans="1:10" ht="51" customHeight="1" x14ac:dyDescent="0.2">
      <c r="A9" s="99" t="s">
        <v>614</v>
      </c>
      <c r="B9" s="99" t="s">
        <v>615</v>
      </c>
      <c r="C9" s="99" t="s">
        <v>616</v>
      </c>
      <c r="D9" s="52"/>
      <c r="E9" s="52"/>
      <c r="F9" s="53"/>
      <c r="G9" s="53"/>
      <c r="H9" s="53"/>
    </row>
    <row r="10" spans="1:10" ht="34" customHeight="1" x14ac:dyDescent="0.2">
      <c r="A10" s="99" t="s">
        <v>617</v>
      </c>
      <c r="B10" s="99" t="s">
        <v>618</v>
      </c>
      <c r="C10" s="99" t="s">
        <v>619</v>
      </c>
      <c r="D10" s="52"/>
      <c r="E10" s="52"/>
      <c r="F10" s="53"/>
      <c r="G10" s="53"/>
      <c r="H10" s="53"/>
    </row>
    <row r="11" spans="1:10" ht="34" customHeight="1" x14ac:dyDescent="0.2">
      <c r="A11" s="99" t="s">
        <v>620</v>
      </c>
      <c r="B11" s="99" t="s">
        <v>621</v>
      </c>
      <c r="C11" s="99" t="s">
        <v>622</v>
      </c>
      <c r="D11" s="52"/>
      <c r="E11" s="52"/>
      <c r="F11" s="53"/>
      <c r="G11" s="53"/>
      <c r="H11" s="53"/>
    </row>
    <row r="12" spans="1:10" ht="34" customHeight="1" x14ac:dyDescent="0.2">
      <c r="A12" s="99" t="s">
        <v>623</v>
      </c>
      <c r="B12" s="99" t="s">
        <v>624</v>
      </c>
      <c r="C12" s="99" t="s">
        <v>625</v>
      </c>
      <c r="D12" s="52"/>
      <c r="E12" s="52"/>
      <c r="F12" s="53"/>
      <c r="G12" s="53"/>
      <c r="H12" s="53"/>
    </row>
    <row r="13" spans="1:10" ht="51" customHeight="1" x14ac:dyDescent="0.2">
      <c r="A13" s="99" t="s">
        <v>626</v>
      </c>
      <c r="B13" s="99" t="s">
        <v>627</v>
      </c>
      <c r="C13" s="99" t="s">
        <v>628</v>
      </c>
      <c r="D13" s="52"/>
      <c r="E13" s="52"/>
      <c r="F13" s="53"/>
      <c r="G13" s="53"/>
      <c r="H13" s="53"/>
    </row>
    <row r="14" spans="1:10" ht="51" customHeight="1" x14ac:dyDescent="0.2">
      <c r="A14" s="99" t="s">
        <v>629</v>
      </c>
      <c r="B14" s="99" t="s">
        <v>630</v>
      </c>
      <c r="C14" s="99" t="s">
        <v>631</v>
      </c>
      <c r="D14" s="52"/>
      <c r="E14" s="52"/>
      <c r="F14" s="53"/>
      <c r="G14" s="53"/>
      <c r="H14" s="53"/>
    </row>
    <row r="15" spans="1:10" ht="34" customHeight="1" x14ac:dyDescent="0.2">
      <c r="A15" s="99" t="s">
        <v>632</v>
      </c>
      <c r="B15" s="99" t="s">
        <v>633</v>
      </c>
      <c r="C15" s="99" t="s">
        <v>634</v>
      </c>
      <c r="D15" s="52"/>
      <c r="E15" s="52"/>
      <c r="F15" s="53"/>
      <c r="G15" s="53"/>
      <c r="H15" s="53"/>
    </row>
    <row r="16" spans="1:10" ht="51" customHeight="1" x14ac:dyDescent="0.2">
      <c r="A16" s="99" t="s">
        <v>635</v>
      </c>
      <c r="B16" s="99" t="s">
        <v>636</v>
      </c>
      <c r="C16" s="99" t="s">
        <v>637</v>
      </c>
      <c r="D16" s="52"/>
      <c r="E16" s="52"/>
      <c r="F16" s="53"/>
      <c r="G16" s="53"/>
      <c r="H16" s="53"/>
    </row>
    <row r="17" spans="1:8" ht="34" customHeight="1" x14ac:dyDescent="0.2">
      <c r="A17" s="99" t="s">
        <v>638</v>
      </c>
      <c r="B17" s="99" t="s">
        <v>639</v>
      </c>
      <c r="C17" s="99" t="s">
        <v>640</v>
      </c>
      <c r="D17" s="52"/>
      <c r="E17" s="52"/>
      <c r="F17" s="53"/>
      <c r="G17" s="53"/>
      <c r="H17" s="53"/>
    </row>
    <row r="19" spans="1:8" x14ac:dyDescent="0.2">
      <c r="A19" s="104" t="s">
        <v>641</v>
      </c>
      <c r="B19" s="2"/>
      <c r="C19" s="2"/>
      <c r="D19" s="2"/>
      <c r="E19" s="2"/>
      <c r="F19" s="2"/>
      <c r="G19" s="2"/>
      <c r="H19" s="2"/>
    </row>
    <row r="20" spans="1:8" x14ac:dyDescent="0.2">
      <c r="A20" s="102" t="s">
        <v>642</v>
      </c>
      <c r="B20" s="64" t="str">
        <f>IF(COUNT(D7:D17)=0,"Incomplete",INDEX(A7:A17,MATCH(MAX(D7:D17),D7:D17,0)))</f>
        <v>Incomplete</v>
      </c>
      <c r="C20" s="64"/>
      <c r="D20" s="64"/>
      <c r="E20" s="64"/>
      <c r="F20" s="64"/>
      <c r="G20" s="64"/>
      <c r="H20" s="64"/>
    </row>
    <row r="21" spans="1:8" x14ac:dyDescent="0.2">
      <c r="A21" s="102" t="s">
        <v>643</v>
      </c>
      <c r="B21" s="82" t="str">
        <f>IF(COUNT(E7:E17)=0,"Incomplete",INDEX(A7:A17,MATCH(MAX(E7:E17),E7:E17,0)))</f>
        <v>Incomplete</v>
      </c>
      <c r="C21" s="83"/>
      <c r="D21" s="83"/>
      <c r="E21" s="83"/>
      <c r="F21" s="83"/>
      <c r="G21" s="83"/>
      <c r="H21" s="83"/>
    </row>
    <row r="22" spans="1:8" x14ac:dyDescent="0.2">
      <c r="A22" s="102" t="s">
        <v>644</v>
      </c>
      <c r="B22" s="84"/>
      <c r="C22" s="39"/>
      <c r="D22" s="39"/>
      <c r="E22" s="39"/>
      <c r="F22" s="39"/>
      <c r="G22" s="39"/>
      <c r="H22" s="39"/>
    </row>
    <row r="25" spans="1:8" ht="36" customHeight="1" x14ac:dyDescent="0.2">
      <c r="A25" s="27" t="s">
        <v>645</v>
      </c>
      <c r="B25" s="25"/>
      <c r="C25" s="25"/>
      <c r="D25" s="25"/>
      <c r="E25" s="25"/>
      <c r="F25" s="25"/>
      <c r="G25" s="25"/>
      <c r="H25" s="25"/>
    </row>
    <row r="26" spans="1:8" ht="36" customHeight="1" x14ac:dyDescent="0.2">
      <c r="A26" s="67" t="s">
        <v>608</v>
      </c>
      <c r="B26" s="67"/>
      <c r="C26" s="67"/>
      <c r="D26" s="67">
        <v>3</v>
      </c>
      <c r="E26" s="67">
        <v>5</v>
      </c>
      <c r="F26" s="67" t="s">
        <v>646</v>
      </c>
      <c r="G26" s="67" t="s">
        <v>647</v>
      </c>
      <c r="H26" s="67" t="s">
        <v>648</v>
      </c>
    </row>
    <row r="27" spans="1:8" ht="36" customHeight="1" x14ac:dyDescent="0.2">
      <c r="A27" s="67" t="s">
        <v>611</v>
      </c>
      <c r="B27" s="67"/>
      <c r="C27" s="67"/>
      <c r="D27" s="67">
        <v>5</v>
      </c>
      <c r="E27" s="67">
        <v>4</v>
      </c>
      <c r="F27" s="67" t="s">
        <v>649</v>
      </c>
      <c r="G27" s="67" t="s">
        <v>650</v>
      </c>
      <c r="H27" s="67" t="s">
        <v>648</v>
      </c>
    </row>
    <row r="28" spans="1:8" ht="36" customHeight="1" x14ac:dyDescent="0.2">
      <c r="A28" s="67" t="s">
        <v>614</v>
      </c>
      <c r="B28" s="67"/>
      <c r="C28" s="67"/>
      <c r="D28" s="67">
        <v>5</v>
      </c>
      <c r="E28" s="67">
        <v>4</v>
      </c>
      <c r="F28" s="67" t="s">
        <v>651</v>
      </c>
      <c r="G28" s="67" t="s">
        <v>652</v>
      </c>
      <c r="H28" s="67" t="s">
        <v>653</v>
      </c>
    </row>
    <row r="29" spans="1:8" ht="36" customHeight="1" x14ac:dyDescent="0.2">
      <c r="A29" s="67" t="s">
        <v>623</v>
      </c>
      <c r="B29" s="67"/>
      <c r="C29" s="67"/>
      <c r="D29" s="67">
        <v>3</v>
      </c>
      <c r="E29" s="67">
        <v>1</v>
      </c>
      <c r="F29" s="67" t="s">
        <v>654</v>
      </c>
      <c r="G29" s="67" t="s">
        <v>655</v>
      </c>
      <c r="H29" s="67" t="s">
        <v>656</v>
      </c>
    </row>
    <row r="30" spans="1:8" ht="36" customHeight="1" x14ac:dyDescent="0.2">
      <c r="A30" s="67" t="s">
        <v>635</v>
      </c>
      <c r="B30" s="67"/>
      <c r="C30" s="67"/>
      <c r="D30" s="67">
        <v>2</v>
      </c>
      <c r="E30" s="67">
        <v>1</v>
      </c>
      <c r="F30" s="67" t="s">
        <v>657</v>
      </c>
      <c r="G30" s="67" t="s">
        <v>658</v>
      </c>
      <c r="H30" s="67" t="s">
        <v>659</v>
      </c>
    </row>
    <row r="31" spans="1:8" ht="50" customHeight="1" x14ac:dyDescent="0.2">
      <c r="A31" s="68" t="s">
        <v>660</v>
      </c>
      <c r="B31" s="69"/>
      <c r="C31" s="69"/>
      <c r="D31" s="69"/>
      <c r="E31" s="69"/>
      <c r="F31" s="69"/>
      <c r="G31" s="69"/>
      <c r="H31" s="69"/>
    </row>
  </sheetData>
  <mergeCells count="8">
    <mergeCell ref="A25:H25"/>
    <mergeCell ref="A31:H31"/>
    <mergeCell ref="A1:H2"/>
    <mergeCell ref="A3:H4"/>
    <mergeCell ref="A5:H5"/>
    <mergeCell ref="A19:H19"/>
    <mergeCell ref="B21:H21"/>
    <mergeCell ref="B22:H22"/>
  </mergeCells>
  <dataValidations count="2">
    <dataValidation type="whole" allowBlank="1" showInputMessage="1" showErrorMessage="1" errorTitle="Score 1 to 5" error="Enter a whole number from 1 to 5, or leave blank if there is no evidence." promptTitle="Readiness 1-5" prompt="1 Entry conditions not met_x000a_2 Few conditions met_x000a_3 Some met; provider unconfirmed_x000a_4 Most met; provider engaged_x000a_5 Conditions met; provider ready to commit" sqref="E7:E17" xr:uid="{644EC5C3-7EB5-194A-8015-01E6A03E4431}">
      <formula1>1</formula1>
      <formula2>5</formula2>
    </dataValidation>
    <dataValidation type="whole" allowBlank="1" showInputMessage="1" showErrorMessage="1" errorTitle="Score 1 to 5" error="Enter a whole number from 1 to 5, or leave blank if there is no evidence." promptTitle="Need 1-5" prompt="1 Not needed at this stage_x000a_2 Marginal_x000a_3 Useful, not the binding constraint_x000a_4 Important for a main constraint_x000a_5 Directly addresses the binding constraint now" sqref="D7:D17" xr:uid="{FD9EFC3C-AFB8-0C46-8086-E359D9A0CC6D}">
      <formula1>1</formula1>
      <formula2>5</formula2>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3537E-6F34-FF4B-B3E8-46A3595E2023}">
  <sheetPr>
    <tabColor theme="7"/>
  </sheetPr>
  <dimension ref="A1:L34"/>
  <sheetViews>
    <sheetView workbookViewId="0">
      <pane xSplit="2" ySplit="6" topLeftCell="C7" activePane="bottomRight" state="frozen"/>
      <selection activeCell="C59" sqref="C59"/>
      <selection pane="topRight" activeCell="C59" sqref="C59"/>
      <selection pane="bottomLeft" activeCell="C59" sqref="C59"/>
      <selection pane="bottomRight" activeCell="C59" sqref="C59"/>
    </sheetView>
  </sheetViews>
  <sheetFormatPr baseColWidth="10" defaultRowHeight="16" x14ac:dyDescent="0.2"/>
  <cols>
    <col min="1" max="1" width="22.83203125" customWidth="1"/>
    <col min="2" max="2" width="28.83203125" customWidth="1"/>
    <col min="3" max="3" width="34.1640625" customWidth="1"/>
    <col min="4" max="4" width="29.83203125" customWidth="1"/>
    <col min="6" max="6" width="18" customWidth="1"/>
    <col min="7" max="7" width="25" customWidth="1"/>
    <col min="9" max="9" width="27.33203125" customWidth="1"/>
    <col min="10" max="10" width="21.83203125" customWidth="1"/>
    <col min="11" max="11" width="33.83203125" customWidth="1"/>
    <col min="12" max="12" width="16" customWidth="1"/>
  </cols>
  <sheetData>
    <row r="1" spans="1:12" x14ac:dyDescent="0.2">
      <c r="A1" s="1" t="s">
        <v>661</v>
      </c>
      <c r="B1" s="2"/>
      <c r="C1" s="2"/>
      <c r="D1" s="2"/>
      <c r="E1" s="2"/>
      <c r="F1" s="2"/>
      <c r="G1" s="2"/>
      <c r="H1" s="2"/>
      <c r="I1" s="2"/>
      <c r="J1" s="2"/>
      <c r="K1" s="2"/>
    </row>
    <row r="2" spans="1:12" x14ac:dyDescent="0.2">
      <c r="A2" s="2"/>
      <c r="B2" s="2"/>
      <c r="C2" s="2"/>
      <c r="D2" s="2"/>
      <c r="E2" s="2"/>
      <c r="F2" s="2"/>
      <c r="G2" s="2"/>
      <c r="H2" s="2"/>
      <c r="I2" s="2"/>
      <c r="J2" s="2"/>
      <c r="K2" s="2"/>
    </row>
    <row r="3" spans="1:12" ht="30" customHeight="1" x14ac:dyDescent="0.2">
      <c r="A3" s="70" t="s">
        <v>662</v>
      </c>
      <c r="B3" s="2"/>
      <c r="C3" s="2"/>
      <c r="D3" s="2"/>
      <c r="E3" s="2"/>
      <c r="F3" s="2"/>
      <c r="G3" s="2"/>
      <c r="H3" s="2"/>
      <c r="I3" s="2"/>
      <c r="J3" s="2"/>
      <c r="K3" s="2"/>
    </row>
    <row r="4" spans="1:12" ht="30" customHeight="1" x14ac:dyDescent="0.2">
      <c r="A4" s="2"/>
      <c r="B4" s="2"/>
      <c r="C4" s="2"/>
      <c r="D4" s="2"/>
      <c r="E4" s="2"/>
      <c r="F4" s="2"/>
      <c r="G4" s="2"/>
      <c r="H4" s="2"/>
      <c r="I4" s="2"/>
      <c r="J4" s="2"/>
      <c r="K4" s="2"/>
    </row>
    <row r="5" spans="1:12" ht="92" customHeight="1" x14ac:dyDescent="0.2">
      <c r="A5" s="44" t="s">
        <v>663</v>
      </c>
      <c r="B5" s="22"/>
      <c r="C5" s="22"/>
      <c r="D5" s="22"/>
      <c r="E5" s="22"/>
      <c r="F5" s="22"/>
      <c r="G5" s="22"/>
      <c r="H5" s="22"/>
      <c r="I5" s="22"/>
      <c r="J5" s="22"/>
      <c r="K5" s="22"/>
      <c r="L5" s="22"/>
    </row>
    <row r="6" spans="1:12" ht="34" customHeight="1" x14ac:dyDescent="0.2">
      <c r="A6" s="78" t="s">
        <v>44</v>
      </c>
      <c r="B6" s="78" t="s">
        <v>664</v>
      </c>
      <c r="C6" s="78" t="s">
        <v>665</v>
      </c>
      <c r="D6" s="78" t="s">
        <v>666</v>
      </c>
      <c r="E6" s="78" t="s">
        <v>667</v>
      </c>
      <c r="F6" s="78" t="s">
        <v>668</v>
      </c>
      <c r="G6" s="78" t="s">
        <v>669</v>
      </c>
      <c r="H6" s="78" t="s">
        <v>670</v>
      </c>
      <c r="I6" s="78" t="s">
        <v>671</v>
      </c>
      <c r="J6" s="78" t="s">
        <v>672</v>
      </c>
      <c r="K6" s="78" t="s">
        <v>673</v>
      </c>
      <c r="L6" s="28" t="s">
        <v>674</v>
      </c>
    </row>
    <row r="7" spans="1:12" x14ac:dyDescent="0.2">
      <c r="A7" s="105" t="s">
        <v>109</v>
      </c>
      <c r="B7" s="106"/>
      <c r="C7" s="106"/>
      <c r="D7" s="106"/>
      <c r="E7" s="106"/>
      <c r="F7" s="79"/>
      <c r="G7" s="79"/>
      <c r="H7" s="106"/>
      <c r="I7" s="79"/>
      <c r="J7" s="52"/>
      <c r="K7" s="79"/>
      <c r="L7" s="73" t="str">
        <f t="shared" ref="L7:L26" si="0">IF(COUNT(D7:E7)&lt;2,"",D7*E7)</f>
        <v/>
      </c>
    </row>
    <row r="8" spans="1:12" x14ac:dyDescent="0.2">
      <c r="A8" s="105" t="s">
        <v>114</v>
      </c>
      <c r="B8" s="106"/>
      <c r="C8" s="79"/>
      <c r="D8" s="106"/>
      <c r="E8" s="106"/>
      <c r="F8" s="79"/>
      <c r="G8" s="79"/>
      <c r="H8" s="106"/>
      <c r="I8" s="79"/>
      <c r="J8" s="52"/>
      <c r="K8" s="79"/>
      <c r="L8" s="73" t="str">
        <f t="shared" si="0"/>
        <v/>
      </c>
    </row>
    <row r="9" spans="1:12" x14ac:dyDescent="0.2">
      <c r="A9" s="105" t="s">
        <v>119</v>
      </c>
      <c r="B9" s="106"/>
      <c r="C9" s="79"/>
      <c r="D9" s="106"/>
      <c r="E9" s="106"/>
      <c r="F9" s="79"/>
      <c r="G9" s="79"/>
      <c r="H9" s="106"/>
      <c r="I9" s="79"/>
      <c r="J9" s="52"/>
      <c r="K9" s="79"/>
      <c r="L9" s="73" t="str">
        <f t="shared" si="0"/>
        <v/>
      </c>
    </row>
    <row r="10" spans="1:12" x14ac:dyDescent="0.2">
      <c r="A10" s="105" t="s">
        <v>124</v>
      </c>
      <c r="B10" s="106"/>
      <c r="C10" s="79"/>
      <c r="D10" s="106"/>
      <c r="E10" s="106"/>
      <c r="F10" s="79"/>
      <c r="G10" s="79"/>
      <c r="H10" s="106"/>
      <c r="I10" s="79"/>
      <c r="J10" s="52"/>
      <c r="K10" s="79"/>
      <c r="L10" s="73" t="str">
        <f t="shared" si="0"/>
        <v/>
      </c>
    </row>
    <row r="11" spans="1:12" x14ac:dyDescent="0.2">
      <c r="A11" s="105" t="s">
        <v>675</v>
      </c>
      <c r="B11" s="106"/>
      <c r="C11" s="79"/>
      <c r="D11" s="106"/>
      <c r="E11" s="106"/>
      <c r="F11" s="79"/>
      <c r="G11" s="79"/>
      <c r="H11" s="106"/>
      <c r="I11" s="79"/>
      <c r="J11" s="52"/>
      <c r="K11" s="79"/>
      <c r="L11" s="73" t="str">
        <f t="shared" si="0"/>
        <v/>
      </c>
    </row>
    <row r="12" spans="1:12" x14ac:dyDescent="0.2">
      <c r="A12" s="105" t="s">
        <v>676</v>
      </c>
      <c r="B12" s="106"/>
      <c r="C12" s="79"/>
      <c r="D12" s="106"/>
      <c r="E12" s="106"/>
      <c r="F12" s="79"/>
      <c r="G12" s="79"/>
      <c r="H12" s="106"/>
      <c r="I12" s="79"/>
      <c r="J12" s="52"/>
      <c r="K12" s="79"/>
      <c r="L12" s="73" t="str">
        <f t="shared" si="0"/>
        <v/>
      </c>
    </row>
    <row r="13" spans="1:12" x14ac:dyDescent="0.2">
      <c r="A13" s="105" t="s">
        <v>677</v>
      </c>
      <c r="B13" s="106"/>
      <c r="C13" s="79"/>
      <c r="D13" s="106"/>
      <c r="E13" s="106"/>
      <c r="F13" s="79"/>
      <c r="G13" s="79"/>
      <c r="H13" s="106"/>
      <c r="I13" s="79"/>
      <c r="J13" s="52"/>
      <c r="K13" s="79"/>
      <c r="L13" s="73" t="str">
        <f t="shared" si="0"/>
        <v/>
      </c>
    </row>
    <row r="14" spans="1:12" x14ac:dyDescent="0.2">
      <c r="A14" s="105" t="s">
        <v>678</v>
      </c>
      <c r="B14" s="106"/>
      <c r="C14" s="79"/>
      <c r="D14" s="106"/>
      <c r="E14" s="106"/>
      <c r="F14" s="79"/>
      <c r="G14" s="79"/>
      <c r="H14" s="106"/>
      <c r="I14" s="79"/>
      <c r="J14" s="52"/>
      <c r="K14" s="79"/>
      <c r="L14" s="73" t="str">
        <f t="shared" si="0"/>
        <v/>
      </c>
    </row>
    <row r="15" spans="1:12" x14ac:dyDescent="0.2">
      <c r="A15" s="105" t="s">
        <v>679</v>
      </c>
      <c r="B15" s="106"/>
      <c r="C15" s="79"/>
      <c r="D15" s="106"/>
      <c r="E15" s="106"/>
      <c r="F15" s="79"/>
      <c r="G15" s="79"/>
      <c r="H15" s="106"/>
      <c r="I15" s="79"/>
      <c r="J15" s="52"/>
      <c r="K15" s="79"/>
      <c r="L15" s="73" t="str">
        <f t="shared" si="0"/>
        <v/>
      </c>
    </row>
    <row r="16" spans="1:12" x14ac:dyDescent="0.2">
      <c r="A16" s="105" t="s">
        <v>680</v>
      </c>
      <c r="B16" s="106"/>
      <c r="C16" s="79"/>
      <c r="D16" s="106"/>
      <c r="E16" s="106"/>
      <c r="F16" s="79"/>
      <c r="G16" s="79"/>
      <c r="H16" s="106"/>
      <c r="I16" s="79"/>
      <c r="J16" s="52"/>
      <c r="K16" s="79"/>
      <c r="L16" s="73" t="str">
        <f t="shared" si="0"/>
        <v/>
      </c>
    </row>
    <row r="17" spans="1:12" x14ac:dyDescent="0.2">
      <c r="A17" s="105" t="s">
        <v>681</v>
      </c>
      <c r="B17" s="106"/>
      <c r="C17" s="79"/>
      <c r="D17" s="106"/>
      <c r="E17" s="106"/>
      <c r="F17" s="79"/>
      <c r="G17" s="79"/>
      <c r="H17" s="106"/>
      <c r="I17" s="79"/>
      <c r="J17" s="52"/>
      <c r="K17" s="79"/>
      <c r="L17" s="73" t="str">
        <f t="shared" si="0"/>
        <v/>
      </c>
    </row>
    <row r="18" spans="1:12" x14ac:dyDescent="0.2">
      <c r="A18" s="105" t="s">
        <v>682</v>
      </c>
      <c r="B18" s="106"/>
      <c r="C18" s="79"/>
      <c r="D18" s="106"/>
      <c r="E18" s="106"/>
      <c r="F18" s="79"/>
      <c r="G18" s="79"/>
      <c r="H18" s="106"/>
      <c r="I18" s="79"/>
      <c r="J18" s="52"/>
      <c r="K18" s="79"/>
      <c r="L18" s="73" t="str">
        <f t="shared" si="0"/>
        <v/>
      </c>
    </row>
    <row r="19" spans="1:12" x14ac:dyDescent="0.2">
      <c r="A19" s="105" t="s">
        <v>683</v>
      </c>
      <c r="B19" s="106"/>
      <c r="C19" s="79"/>
      <c r="D19" s="106"/>
      <c r="E19" s="106"/>
      <c r="F19" s="79"/>
      <c r="G19" s="79"/>
      <c r="H19" s="106"/>
      <c r="I19" s="79"/>
      <c r="J19" s="52"/>
      <c r="K19" s="79"/>
      <c r="L19" s="73" t="str">
        <f t="shared" si="0"/>
        <v/>
      </c>
    </row>
    <row r="20" spans="1:12" x14ac:dyDescent="0.2">
      <c r="A20" s="105" t="s">
        <v>684</v>
      </c>
      <c r="B20" s="106"/>
      <c r="C20" s="79"/>
      <c r="D20" s="106"/>
      <c r="E20" s="106"/>
      <c r="F20" s="79"/>
      <c r="G20" s="79"/>
      <c r="H20" s="106"/>
      <c r="I20" s="79"/>
      <c r="J20" s="52"/>
      <c r="K20" s="79"/>
      <c r="L20" s="73" t="str">
        <f t="shared" si="0"/>
        <v/>
      </c>
    </row>
    <row r="21" spans="1:12" x14ac:dyDescent="0.2">
      <c r="A21" s="105" t="s">
        <v>685</v>
      </c>
      <c r="B21" s="106"/>
      <c r="C21" s="79"/>
      <c r="D21" s="106"/>
      <c r="E21" s="106"/>
      <c r="F21" s="79"/>
      <c r="G21" s="79"/>
      <c r="H21" s="106"/>
      <c r="I21" s="79"/>
      <c r="J21" s="52"/>
      <c r="K21" s="79"/>
      <c r="L21" s="73" t="str">
        <f t="shared" si="0"/>
        <v/>
      </c>
    </row>
    <row r="22" spans="1:12" x14ac:dyDescent="0.2">
      <c r="A22" s="105" t="s">
        <v>686</v>
      </c>
      <c r="B22" s="106"/>
      <c r="C22" s="79"/>
      <c r="D22" s="106"/>
      <c r="E22" s="106"/>
      <c r="F22" s="79"/>
      <c r="G22" s="79"/>
      <c r="H22" s="106"/>
      <c r="I22" s="79"/>
      <c r="J22" s="52"/>
      <c r="K22" s="79"/>
      <c r="L22" s="73" t="str">
        <f t="shared" si="0"/>
        <v/>
      </c>
    </row>
    <row r="23" spans="1:12" x14ac:dyDescent="0.2">
      <c r="A23" s="105" t="s">
        <v>687</v>
      </c>
      <c r="B23" s="106"/>
      <c r="C23" s="79"/>
      <c r="D23" s="106"/>
      <c r="E23" s="106"/>
      <c r="F23" s="79"/>
      <c r="G23" s="79"/>
      <c r="H23" s="106"/>
      <c r="I23" s="79"/>
      <c r="J23" s="52"/>
      <c r="K23" s="79"/>
      <c r="L23" s="73" t="str">
        <f t="shared" si="0"/>
        <v/>
      </c>
    </row>
    <row r="24" spans="1:12" x14ac:dyDescent="0.2">
      <c r="A24" s="105" t="s">
        <v>688</v>
      </c>
      <c r="B24" s="106"/>
      <c r="C24" s="79"/>
      <c r="D24" s="106"/>
      <c r="E24" s="106"/>
      <c r="F24" s="79"/>
      <c r="G24" s="79"/>
      <c r="H24" s="106"/>
      <c r="I24" s="79"/>
      <c r="J24" s="52"/>
      <c r="K24" s="79"/>
      <c r="L24" s="73" t="str">
        <f t="shared" si="0"/>
        <v/>
      </c>
    </row>
    <row r="25" spans="1:12" x14ac:dyDescent="0.2">
      <c r="A25" s="105" t="s">
        <v>689</v>
      </c>
      <c r="B25" s="106"/>
      <c r="C25" s="79"/>
      <c r="D25" s="106"/>
      <c r="E25" s="106"/>
      <c r="F25" s="79"/>
      <c r="G25" s="79"/>
      <c r="H25" s="106"/>
      <c r="I25" s="79"/>
      <c r="J25" s="52"/>
      <c r="K25" s="79"/>
      <c r="L25" s="73" t="str">
        <f t="shared" si="0"/>
        <v/>
      </c>
    </row>
    <row r="26" spans="1:12" x14ac:dyDescent="0.2">
      <c r="A26" s="105" t="s">
        <v>690</v>
      </c>
      <c r="B26" s="106"/>
      <c r="C26" s="79"/>
      <c r="D26" s="106"/>
      <c r="E26" s="106"/>
      <c r="F26" s="79"/>
      <c r="G26" s="79"/>
      <c r="H26" s="106"/>
      <c r="I26" s="79"/>
      <c r="J26" s="52"/>
      <c r="K26" s="79"/>
      <c r="L26" s="73" t="str">
        <f t="shared" si="0"/>
        <v/>
      </c>
    </row>
    <row r="27" spans="1:12" x14ac:dyDescent="0.2">
      <c r="F27" s="107"/>
      <c r="G27" s="107"/>
    </row>
    <row r="28" spans="1:12" x14ac:dyDescent="0.2">
      <c r="A28" s="108" t="s">
        <v>691</v>
      </c>
      <c r="B28" s="2"/>
      <c r="C28" s="2"/>
      <c r="D28" s="2"/>
      <c r="E28" s="2"/>
      <c r="F28" s="2"/>
      <c r="G28" s="2"/>
      <c r="H28" s="2"/>
      <c r="I28" s="2"/>
      <c r="J28" s="2"/>
      <c r="K28" s="2"/>
    </row>
    <row r="29" spans="1:12" x14ac:dyDescent="0.2">
      <c r="A29" s="109" t="s">
        <v>692</v>
      </c>
      <c r="B29" s="93" t="str">
        <f>IF(COUNT(L7:L26)=0,"Incomplete",INDEX(C7:C26,MATCH(MAX(L7:L26),L7:L26,0)))</f>
        <v>Incomplete</v>
      </c>
      <c r="C29" s="93"/>
      <c r="D29" s="93"/>
      <c r="E29" s="93"/>
      <c r="F29" s="93"/>
      <c r="G29" s="93"/>
      <c r="H29" s="93"/>
      <c r="I29" s="93"/>
      <c r="J29" s="93"/>
      <c r="K29" s="93"/>
    </row>
    <row r="30" spans="1:12" x14ac:dyDescent="0.2">
      <c r="A30" s="109" t="s">
        <v>693</v>
      </c>
      <c r="B30" s="93">
        <f>IFERROR(AVERAGE(J7:J26),0)</f>
        <v>0</v>
      </c>
      <c r="C30" s="110"/>
      <c r="D30" s="110"/>
      <c r="E30" s="110"/>
      <c r="F30" s="110"/>
      <c r="G30" s="110"/>
      <c r="H30" s="110"/>
      <c r="I30" s="110"/>
      <c r="J30" s="110"/>
      <c r="K30" s="110"/>
    </row>
    <row r="33" spans="1:12" x14ac:dyDescent="0.2">
      <c r="A33" s="27" t="s">
        <v>394</v>
      </c>
      <c r="B33" s="25"/>
      <c r="C33" s="25"/>
      <c r="D33" s="25"/>
      <c r="E33" s="25"/>
      <c r="F33" s="25"/>
      <c r="G33" s="25"/>
      <c r="H33" s="25"/>
      <c r="I33" s="25"/>
      <c r="J33" s="25"/>
      <c r="K33" s="25"/>
      <c r="L33" s="25"/>
    </row>
    <row r="34" spans="1:12" ht="64" customHeight="1" x14ac:dyDescent="0.2">
      <c r="A34" s="67" t="s">
        <v>109</v>
      </c>
      <c r="B34" s="67" t="s">
        <v>694</v>
      </c>
      <c r="C34" s="67" t="s">
        <v>695</v>
      </c>
      <c r="D34" s="67">
        <v>4</v>
      </c>
      <c r="E34" s="67">
        <v>4</v>
      </c>
      <c r="F34" s="67" t="s">
        <v>696</v>
      </c>
      <c r="G34" s="67" t="s">
        <v>697</v>
      </c>
      <c r="H34" s="67" t="s">
        <v>698</v>
      </c>
      <c r="I34" s="67" t="s">
        <v>699</v>
      </c>
      <c r="J34" s="67">
        <v>2</v>
      </c>
      <c r="K34" s="67" t="s">
        <v>700</v>
      </c>
      <c r="L34" s="67">
        <v>16</v>
      </c>
    </row>
  </sheetData>
  <mergeCells count="5">
    <mergeCell ref="A1:K2"/>
    <mergeCell ref="A3:K4"/>
    <mergeCell ref="A5:L5"/>
    <mergeCell ref="A28:K28"/>
    <mergeCell ref="A33:L33"/>
  </mergeCells>
  <dataValidations count="3">
    <dataValidation type="whole" allowBlank="1" showInputMessage="1" showErrorMessage="1" errorTitle="Score 1 to 5" error="Enter a whole number from 1 to 5, or leave blank if there is no evidence." promptTitle="Residual 1-5" prompt="1 Low; accept and monitor_x000a_2 Minor_x000a_3 Material; manage actively_x000a_4 High; escalate_x000a_5 Could still stop the opportunity" sqref="J7:J26" xr:uid="{69E77893-2019-E848-9DBC-653E45E6ED4D}">
      <formula1>1</formula1>
      <formula2>5</formula2>
    </dataValidation>
    <dataValidation type="whole" allowBlank="1" showInputMessage="1" showErrorMessage="1" errorTitle="Score 1 to 5" error="Enter a whole number from 1 to 5, or leave blank if there is no evidence." promptTitle="Impact 1-5" prompt="1 Negligible_x000a_2 Minor delay or cost_x000a_3 Material; a component must be redesigned_x000a_4 Major: threatens financing or a key partner_x000a_5 Stops the opportunity or harms users" sqref="E7:E26" xr:uid="{1A74E84D-5CA9-1540-8C78-BFEAFDF947CB}">
      <formula1>1</formula1>
      <formula2>5</formula2>
    </dataValidation>
    <dataValidation type="whole" allowBlank="1" showInputMessage="1" showErrorMessage="1" errorTitle="Score 1 to 5" error="Enter a whole number from 1 to 5, or leave blank if there is no evidence." promptTitle="Likelihood 1-5" prompt="1 Rare (&lt;10%)_x000a_2 Unlikely (10-30%)_x000a_3 Possible (30-50%)_x000a_4 Likely (50-80%)_x000a_5 Almost certain (&gt;80%)_x000a_Over the next 24 months" sqref="D7:D26" xr:uid="{1F9D1E34-DA0E-C145-B57B-B154743172B1}">
      <formula1>1</formula1>
      <formula2>5</formula2>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FFAF-A050-A04A-A354-E30F16BA1D56}">
  <sheetPr>
    <tabColor theme="5"/>
  </sheetPr>
  <dimension ref="A1:K39"/>
  <sheetViews>
    <sheetView zoomScale="125" workbookViewId="0">
      <selection activeCell="C59" sqref="C59"/>
    </sheetView>
  </sheetViews>
  <sheetFormatPr baseColWidth="10" defaultRowHeight="16" x14ac:dyDescent="0.2"/>
  <cols>
    <col min="2" max="2" width="39" bestFit="1" customWidth="1"/>
    <col min="3" max="3" width="19.5" customWidth="1"/>
    <col min="4" max="4" width="17" customWidth="1"/>
  </cols>
  <sheetData>
    <row r="1" spans="1:11" x14ac:dyDescent="0.2">
      <c r="A1" s="104" t="s">
        <v>701</v>
      </c>
      <c r="B1" s="2"/>
      <c r="C1" s="2"/>
      <c r="D1" s="2"/>
      <c r="E1" s="2"/>
      <c r="F1" s="2"/>
      <c r="G1" s="2"/>
      <c r="H1" s="2"/>
      <c r="I1" s="2"/>
      <c r="J1" s="2"/>
      <c r="K1" s="2"/>
    </row>
    <row r="2" spans="1:11" x14ac:dyDescent="0.2">
      <c r="A2" s="2"/>
      <c r="B2" s="2"/>
      <c r="C2" s="2"/>
      <c r="D2" s="2"/>
      <c r="E2" s="2"/>
      <c r="F2" s="2"/>
      <c r="G2" s="2"/>
      <c r="H2" s="2"/>
      <c r="I2" s="2"/>
      <c r="J2" s="2"/>
      <c r="K2" s="2"/>
    </row>
    <row r="3" spans="1:11" ht="30" customHeight="1" x14ac:dyDescent="0.2">
      <c r="A3" s="111" t="s">
        <v>702</v>
      </c>
      <c r="B3" s="2"/>
      <c r="C3" s="2"/>
      <c r="D3" s="2"/>
      <c r="E3" s="2"/>
      <c r="F3" s="2"/>
      <c r="G3" s="2"/>
      <c r="H3" s="2"/>
      <c r="I3" s="2"/>
      <c r="J3" s="2"/>
      <c r="K3" s="2"/>
    </row>
    <row r="4" spans="1:11" ht="30" customHeight="1" x14ac:dyDescent="0.2">
      <c r="A4" s="2"/>
      <c r="B4" s="2"/>
      <c r="C4" s="2"/>
      <c r="D4" s="2"/>
      <c r="E4" s="2"/>
      <c r="F4" s="2"/>
      <c r="G4" s="2"/>
      <c r="H4" s="2"/>
      <c r="I4" s="2"/>
      <c r="J4" s="2"/>
      <c r="K4" s="2"/>
    </row>
    <row r="6" spans="1:11" x14ac:dyDescent="0.2">
      <c r="B6" s="1" t="s">
        <v>267</v>
      </c>
      <c r="C6" s="2"/>
      <c r="D6" s="2"/>
      <c r="E6" s="2"/>
      <c r="F6" s="2"/>
      <c r="G6" s="2"/>
      <c r="H6" s="2"/>
      <c r="I6" s="2"/>
      <c r="J6" s="2"/>
    </row>
    <row r="7" spans="1:11" x14ac:dyDescent="0.2">
      <c r="B7" s="65" t="s">
        <v>267</v>
      </c>
      <c r="C7" s="112">
        <f>'Opportunity Profile'!B7</f>
        <v>0</v>
      </c>
      <c r="D7" s="83"/>
      <c r="E7" s="83"/>
      <c r="F7" s="83"/>
      <c r="G7" s="83"/>
      <c r="H7" s="83"/>
      <c r="I7" s="83"/>
      <c r="J7" s="83"/>
    </row>
    <row r="8" spans="1:11" x14ac:dyDescent="0.2">
      <c r="B8" s="65" t="s">
        <v>703</v>
      </c>
      <c r="C8" s="112">
        <f>'Opportunity Profile'!B8</f>
        <v>0</v>
      </c>
      <c r="D8" s="83"/>
      <c r="E8" s="83"/>
      <c r="F8" s="83"/>
      <c r="G8" s="83"/>
      <c r="H8" s="83"/>
      <c r="I8" s="83"/>
      <c r="J8" s="83"/>
    </row>
    <row r="9" spans="1:11" x14ac:dyDescent="0.2">
      <c r="B9" s="65" t="s">
        <v>252</v>
      </c>
      <c r="C9" s="112">
        <f>'Opportunity Profile'!B9</f>
        <v>0</v>
      </c>
      <c r="D9" s="83"/>
      <c r="E9" s="83"/>
      <c r="F9" s="83"/>
      <c r="G9" s="83"/>
      <c r="H9" s="83"/>
      <c r="I9" s="83"/>
      <c r="J9" s="83"/>
    </row>
    <row r="10" spans="1:11" x14ac:dyDescent="0.2">
      <c r="B10" s="65" t="s">
        <v>253</v>
      </c>
      <c r="C10" s="112">
        <f>'Opportunity Profile'!B10</f>
        <v>0</v>
      </c>
      <c r="D10" s="83"/>
      <c r="E10" s="83"/>
      <c r="F10" s="83"/>
      <c r="G10" s="83"/>
      <c r="H10" s="83"/>
      <c r="I10" s="83"/>
      <c r="J10" s="83"/>
    </row>
    <row r="12" spans="1:11" x14ac:dyDescent="0.2">
      <c r="B12" s="113" t="s">
        <v>704</v>
      </c>
      <c r="C12" s="2"/>
      <c r="D12" s="2"/>
      <c r="E12" s="2"/>
      <c r="F12" s="2"/>
      <c r="G12" s="2"/>
      <c r="H12" s="2"/>
      <c r="I12" s="2"/>
      <c r="J12" s="2"/>
    </row>
    <row r="13" spans="1:11" x14ac:dyDescent="0.2">
      <c r="B13" s="114" t="s">
        <v>705</v>
      </c>
      <c r="C13" s="83">
        <f>'Deployability Scorecard'!B47</f>
        <v>0</v>
      </c>
      <c r="D13" s="83"/>
      <c r="E13" s="83"/>
      <c r="F13" s="83"/>
      <c r="G13" s="83"/>
      <c r="H13" s="83"/>
      <c r="I13" s="83"/>
      <c r="J13" s="83"/>
    </row>
    <row r="14" spans="1:11" x14ac:dyDescent="0.2">
      <c r="B14" s="114" t="s">
        <v>706</v>
      </c>
      <c r="C14" s="83" t="str">
        <f>'Deployability Scorecard'!B48</f>
        <v>Incomplete</v>
      </c>
      <c r="D14" s="83"/>
      <c r="E14" s="83"/>
      <c r="F14" s="83"/>
      <c r="G14" s="83"/>
      <c r="H14" s="83"/>
      <c r="I14" s="83"/>
      <c r="J14" s="83"/>
    </row>
    <row r="15" spans="1:11" x14ac:dyDescent="0.2">
      <c r="B15" s="114" t="s">
        <v>707</v>
      </c>
      <c r="C15" s="83" t="str">
        <f>'Deployability Scorecard'!B49</f>
        <v>Incomplete</v>
      </c>
      <c r="D15" s="83"/>
      <c r="E15" s="83"/>
      <c r="F15" s="83"/>
      <c r="G15" s="83"/>
      <c r="H15" s="83"/>
      <c r="I15" s="83"/>
      <c r="J15" s="83"/>
    </row>
    <row r="16" spans="1:11" x14ac:dyDescent="0.2">
      <c r="B16" s="114" t="s">
        <v>389</v>
      </c>
      <c r="C16" s="83" t="str">
        <f>IF('Binding Constraints'!B22&lt;&gt;"",'Binding Constraints'!B22,'Binding Constraints'!B19)</f>
        <v>Incomplete</v>
      </c>
      <c r="D16" s="83"/>
      <c r="E16" s="83"/>
      <c r="F16" s="83"/>
      <c r="G16" s="83"/>
      <c r="H16" s="83"/>
      <c r="I16" s="83"/>
      <c r="J16" s="83"/>
    </row>
    <row r="17" spans="2:10" x14ac:dyDescent="0.2">
      <c r="B17" s="114" t="s">
        <v>708</v>
      </c>
      <c r="C17" s="83" t="str">
        <f>'Partnership Model Selection'!B23</f>
        <v>Incomplete</v>
      </c>
      <c r="D17" s="83"/>
      <c r="E17" s="83"/>
      <c r="F17" s="83"/>
      <c r="G17" s="83"/>
      <c r="H17" s="83"/>
      <c r="I17" s="83"/>
      <c r="J17" s="83"/>
    </row>
    <row r="18" spans="2:10" x14ac:dyDescent="0.2">
      <c r="B18" s="114" t="s">
        <v>709</v>
      </c>
      <c r="C18" s="83" t="str">
        <f>'Role Selection'!B23</f>
        <v>Incomplete</v>
      </c>
      <c r="D18" s="83"/>
      <c r="E18" s="83"/>
      <c r="F18" s="83"/>
      <c r="G18" s="83"/>
      <c r="H18" s="83"/>
      <c r="I18" s="83"/>
      <c r="J18" s="83"/>
    </row>
    <row r="19" spans="2:10" x14ac:dyDescent="0.2">
      <c r="B19" s="114" t="s">
        <v>710</v>
      </c>
      <c r="C19" s="83" t="str">
        <f>'Capital Sequencing'!B20</f>
        <v>Incomplete</v>
      </c>
      <c r="D19" s="83"/>
      <c r="E19" s="83"/>
      <c r="F19" s="83"/>
      <c r="G19" s="83"/>
      <c r="H19" s="83"/>
      <c r="I19" s="83"/>
      <c r="J19" s="83"/>
    </row>
    <row r="20" spans="2:10" x14ac:dyDescent="0.2">
      <c r="B20" s="114" t="s">
        <v>692</v>
      </c>
      <c r="C20" s="83" t="str">
        <f>'Risk Allocation'!B29</f>
        <v>Incomplete</v>
      </c>
      <c r="D20" s="83"/>
      <c r="E20" s="83"/>
      <c r="F20" s="83"/>
      <c r="G20" s="83"/>
      <c r="H20" s="83"/>
      <c r="I20" s="83"/>
      <c r="J20" s="83"/>
    </row>
    <row r="22" spans="2:10" x14ac:dyDescent="0.2">
      <c r="B22" s="113" t="s">
        <v>711</v>
      </c>
      <c r="C22" s="2"/>
      <c r="D22" s="2"/>
      <c r="E22" s="2"/>
      <c r="F22" s="2"/>
      <c r="G22" s="2"/>
      <c r="H22" s="2"/>
      <c r="I22" s="2"/>
      <c r="J22" s="2"/>
    </row>
    <row r="23" spans="2:10" ht="17" customHeight="1" x14ac:dyDescent="0.2">
      <c r="B23" s="115" t="s">
        <v>269</v>
      </c>
      <c r="C23" s="115" t="s">
        <v>311</v>
      </c>
      <c r="D23" s="115" t="s">
        <v>314</v>
      </c>
      <c r="F23" s="65"/>
      <c r="G23" s="65"/>
      <c r="H23" s="65"/>
      <c r="I23" s="65"/>
      <c r="J23" s="65"/>
    </row>
    <row r="24" spans="2:10" x14ac:dyDescent="0.2">
      <c r="B24" s="63" t="s">
        <v>275</v>
      </c>
      <c r="C24" s="64">
        <f>'Deployability Scorecard'!B39</f>
        <v>0</v>
      </c>
      <c r="D24" s="64" t="str">
        <f>'Deployability Scorecard'!E39</f>
        <v>Incomplete</v>
      </c>
      <c r="E24" s="65"/>
      <c r="F24" s="65"/>
      <c r="G24" s="65"/>
      <c r="H24" s="65"/>
      <c r="I24" s="65"/>
      <c r="J24" s="65"/>
    </row>
    <row r="25" spans="2:10" x14ac:dyDescent="0.2">
      <c r="B25" s="63" t="s">
        <v>280</v>
      </c>
      <c r="C25" s="64">
        <f>'Deployability Scorecard'!B40</f>
        <v>0</v>
      </c>
      <c r="D25" s="64" t="str">
        <f>'Deployability Scorecard'!E40</f>
        <v>Incomplete</v>
      </c>
      <c r="E25" s="65"/>
      <c r="F25" s="65"/>
      <c r="G25" s="65"/>
      <c r="H25" s="65"/>
      <c r="I25" s="65"/>
      <c r="J25" s="65"/>
    </row>
    <row r="26" spans="2:10" x14ac:dyDescent="0.2">
      <c r="B26" s="63" t="s">
        <v>285</v>
      </c>
      <c r="C26" s="64">
        <f>'Deployability Scorecard'!B41</f>
        <v>0</v>
      </c>
      <c r="D26" s="64" t="str">
        <f>'Deployability Scorecard'!E41</f>
        <v>Incomplete</v>
      </c>
      <c r="E26" s="65"/>
      <c r="F26" s="65"/>
      <c r="G26" s="65"/>
      <c r="H26" s="65"/>
      <c r="I26" s="65"/>
      <c r="J26" s="65"/>
    </row>
    <row r="27" spans="2:10" x14ac:dyDescent="0.2">
      <c r="B27" s="63" t="s">
        <v>290</v>
      </c>
      <c r="C27" s="64">
        <f>'Deployability Scorecard'!B42</f>
        <v>0</v>
      </c>
      <c r="D27" s="64" t="str">
        <f>'Deployability Scorecard'!E42</f>
        <v>Incomplete</v>
      </c>
      <c r="E27" s="65"/>
      <c r="F27" s="65"/>
      <c r="G27" s="65"/>
      <c r="H27" s="65"/>
      <c r="I27" s="65"/>
      <c r="J27" s="65"/>
    </row>
    <row r="28" spans="2:10" x14ac:dyDescent="0.2">
      <c r="B28" s="63" t="s">
        <v>295</v>
      </c>
      <c r="C28" s="64">
        <f>'Deployability Scorecard'!B43</f>
        <v>0</v>
      </c>
      <c r="D28" s="64" t="str">
        <f>'Deployability Scorecard'!E43</f>
        <v>Incomplete</v>
      </c>
      <c r="E28" s="65"/>
      <c r="F28" s="65"/>
      <c r="G28" s="65"/>
      <c r="H28" s="65"/>
      <c r="I28" s="65"/>
      <c r="J28" s="65"/>
    </row>
    <row r="29" spans="2:10" x14ac:dyDescent="0.2">
      <c r="B29" s="63" t="s">
        <v>300</v>
      </c>
      <c r="C29" s="64">
        <f>'Deployability Scorecard'!B44</f>
        <v>0</v>
      </c>
      <c r="D29" s="64" t="str">
        <f>'Deployability Scorecard'!E44</f>
        <v>Incomplete</v>
      </c>
      <c r="E29" s="65"/>
      <c r="F29" s="65"/>
      <c r="G29" s="65"/>
      <c r="H29" s="65"/>
      <c r="I29" s="65"/>
      <c r="J29" s="65"/>
    </row>
    <row r="30" spans="2:10" x14ac:dyDescent="0.2">
      <c r="B30" s="63" t="s">
        <v>305</v>
      </c>
      <c r="C30" s="64">
        <f>'Deployability Scorecard'!B45</f>
        <v>0</v>
      </c>
      <c r="D30" s="64" t="str">
        <f>'Deployability Scorecard'!E45</f>
        <v>Incomplete</v>
      </c>
    </row>
    <row r="33" spans="2:10" ht="42" customHeight="1" x14ac:dyDescent="0.2"/>
    <row r="34" spans="2:10" ht="55" customHeight="1" x14ac:dyDescent="0.2"/>
    <row r="35" spans="2:10" ht="34" customHeight="1" x14ac:dyDescent="0.2">
      <c r="B35" s="113" t="s">
        <v>712</v>
      </c>
      <c r="C35" s="2"/>
      <c r="D35" s="2"/>
      <c r="E35" s="2"/>
      <c r="F35" s="2"/>
      <c r="G35" s="2"/>
      <c r="H35" s="2"/>
      <c r="I35" s="2"/>
      <c r="J35" s="2"/>
    </row>
    <row r="36" spans="2:10" ht="38" customHeight="1" x14ac:dyDescent="0.2">
      <c r="B36" s="116" t="s">
        <v>713</v>
      </c>
      <c r="C36" s="38"/>
      <c r="D36" s="39"/>
      <c r="E36" s="39"/>
      <c r="F36" s="39"/>
      <c r="G36" s="39"/>
      <c r="H36" s="39"/>
      <c r="I36" s="39"/>
      <c r="J36" s="39"/>
    </row>
    <row r="37" spans="2:10" ht="53" customHeight="1" x14ac:dyDescent="0.2">
      <c r="B37" s="116" t="s">
        <v>714</v>
      </c>
      <c r="C37" s="117" t="s">
        <v>715</v>
      </c>
      <c r="D37" s="39"/>
      <c r="E37" s="39"/>
      <c r="F37" s="39"/>
      <c r="G37" s="39"/>
      <c r="H37" s="39"/>
      <c r="I37" s="39"/>
      <c r="J37" s="39"/>
    </row>
    <row r="38" spans="2:10" x14ac:dyDescent="0.2">
      <c r="B38" s="116" t="s">
        <v>716</v>
      </c>
      <c r="C38" s="118"/>
      <c r="D38" s="118"/>
      <c r="E38" s="118"/>
      <c r="F38" s="118"/>
      <c r="G38" s="118"/>
      <c r="H38" s="118"/>
      <c r="I38" s="118"/>
      <c r="J38" s="118"/>
    </row>
    <row r="39" spans="2:10" x14ac:dyDescent="0.2">
      <c r="B39" s="116" t="s">
        <v>717</v>
      </c>
      <c r="C39" s="118"/>
      <c r="D39" s="118"/>
      <c r="E39" s="118"/>
      <c r="F39" s="118"/>
      <c r="G39" s="118"/>
      <c r="H39" s="118"/>
      <c r="I39" s="118"/>
      <c r="J39" s="118"/>
    </row>
  </sheetData>
  <mergeCells count="20">
    <mergeCell ref="C36:J36"/>
    <mergeCell ref="C37:J37"/>
    <mergeCell ref="C17:J17"/>
    <mergeCell ref="C18:J18"/>
    <mergeCell ref="C19:J19"/>
    <mergeCell ref="C20:J20"/>
    <mergeCell ref="B22:J22"/>
    <mergeCell ref="B35:J35"/>
    <mergeCell ref="C10:J10"/>
    <mergeCell ref="B12:J12"/>
    <mergeCell ref="C13:J13"/>
    <mergeCell ref="C14:J14"/>
    <mergeCell ref="C15:J15"/>
    <mergeCell ref="C16:J16"/>
    <mergeCell ref="A1:K2"/>
    <mergeCell ref="A3:K4"/>
    <mergeCell ref="B6:J6"/>
    <mergeCell ref="C7:J7"/>
    <mergeCell ref="C8:J8"/>
    <mergeCell ref="C9:J9"/>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Scoring Guide</vt:lpstr>
      <vt:lpstr>Opportunity Profile</vt:lpstr>
      <vt:lpstr>Deployability Scorecard</vt:lpstr>
      <vt:lpstr>Binding Constraints</vt:lpstr>
      <vt:lpstr>Actor Map</vt:lpstr>
      <vt:lpstr>System Readiness</vt:lpstr>
      <vt:lpstr>Partnership Model Selection</vt:lpstr>
      <vt:lpstr>Role Selection</vt:lpstr>
      <vt:lpstr>Capital Sequencing</vt:lpstr>
      <vt:lpstr>Risk Allocation</vt:lpstr>
      <vt:lpstr>Deployability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Kuzi Mutsvangwa</dc:creator>
  <cp:lastModifiedBy>Kuzi Mutsvangwa</cp:lastModifiedBy>
  <dcterms:created xsi:type="dcterms:W3CDTF">2026-10-12T17:14:05Z</dcterms:created>
  <dcterms:modified xsi:type="dcterms:W3CDTF">2026-10-12T17:14:38Z</dcterms:modified>
</cp:coreProperties>
</file>